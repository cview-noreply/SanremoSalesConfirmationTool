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corou-my.sharepoint.com/personal/s_takahashi1_waku-2_com/Documents/ドキュメント/デスクトップ/test/"/>
    </mc:Choice>
  </mc:AlternateContent>
  <xr:revisionPtr revIDLastSave="0" documentId="13_ncr:1_{DEEB6DCB-3F30-4F8C-968C-4B4EC1923002}" xr6:coauthVersionLast="47" xr6:coauthVersionMax="47" xr10:uidLastSave="{00000000-0000-0000-0000-000000000000}"/>
  <bookViews>
    <workbookView xWindow="-15" yWindow="-16320" windowWidth="29040" windowHeight="15720" tabRatio="888" xr2:uid="{00000000-000D-0000-FFFF-FFFF00000000}"/>
  </bookViews>
  <sheets>
    <sheet name="改訂履歴" sheetId="179" r:id="rId1"/>
    <sheet name="背景・目的" sheetId="190" r:id="rId2"/>
    <sheet name="ツール概要" sheetId="180" r:id="rId3"/>
    <sheet name="業務概要" sheetId="169" r:id="rId4"/>
    <sheet name="入出力仕様" sheetId="181" r:id="rId5"/>
    <sheet name="画面定義" sheetId="174" state="hidden" r:id="rId6"/>
    <sheet name="処理フロー図" sheetId="185" r:id="rId7"/>
    <sheet name="帳票定義" sheetId="186" state="hidden" r:id="rId8"/>
    <sheet name="メッセージ一覧" sheetId="187" r:id="rId9"/>
    <sheet name="データフロー図" sheetId="193" state="hidden" r:id="rId10"/>
    <sheet name="テーブル定義" sheetId="188" state="hidden" r:id="rId11"/>
    <sheet name="ER図" sheetId="192" state="hidden" r:id="rId12"/>
    <sheet name="ログ出力" sheetId="184" state="hidden" r:id="rId13"/>
    <sheet name="操作手順" sheetId="189" r:id="rId14"/>
  </sheets>
  <definedNames>
    <definedName name="_xlnm.Print_Area" localSheetId="11">ER図!$A$1:$BI$54</definedName>
    <definedName name="_xlnm.Print_Area" localSheetId="2">ツール概要!$A$1:$AZ$50</definedName>
    <definedName name="_xlnm.Print_Area" localSheetId="9">データフロー図!$A$1:$BL$31</definedName>
    <definedName name="_xlnm.Print_Area" localSheetId="10">テーブル定義!$A$1:$Q$91</definedName>
    <definedName name="_xlnm.Print_Area" localSheetId="8">メッセージ一覧!$A$1:$BC$14</definedName>
    <definedName name="_xlnm.Print_Area" localSheetId="12">ログ出力!$A$1:$AZ$21</definedName>
    <definedName name="_xlnm.Print_Area" localSheetId="5">画面定義!$A$1:$AZ$33</definedName>
    <definedName name="_xlnm.Print_Area" localSheetId="0">改訂履歴!$A$1:$AZ$34</definedName>
    <definedName name="_xlnm.Print_Area" localSheetId="6">処理フロー図!$A$1:$DA$160</definedName>
    <definedName name="_xlnm.Print_Area" localSheetId="13">操作手順!$A$1:$BB$34</definedName>
    <definedName name="_xlnm.Print_Area" localSheetId="7">帳票定義!$A$1:$AZ$34</definedName>
    <definedName name="_xlnm.Print_Area" localSheetId="4">入出力仕様!$A$1:$BD$95</definedName>
    <definedName name="_xlnm.Print_Area" localSheetId="1">背景・目的!$A$1:$AZ$25</definedName>
    <definedName name="ツール概要">ツール概要!$A$1</definedName>
    <definedName name="テーブル定義">テーブル定義!$A$1</definedName>
    <definedName name="メッセージ一覧" localSheetId="11">ER図!$A$1</definedName>
    <definedName name="メッセージ一覧">メッセージ一覧!$A$1</definedName>
    <definedName name="ログ出力">ログ出力!$A$1</definedName>
    <definedName name="画面定義">画面定義!$A$1</definedName>
    <definedName name="業務概要">業務概要!$A$1</definedName>
    <definedName name="処理フロー図">処理フロー図!$A$1</definedName>
    <definedName name="操作手順">操作手順!$A$1</definedName>
    <definedName name="帳票定義">帳票定義!$A$1</definedName>
    <definedName name="入出力仕様">入出力仕様!$A$1</definedName>
    <definedName name="背景・目的">背景・目的!$A$1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6" i="179" l="1"/>
  <c r="AT7" i="179"/>
  <c r="AT8" i="179"/>
  <c r="A4" i="179" l="1" a="1"/>
  <c r="A4" i="179" s="1"/>
  <c r="A1" i="186" l="1"/>
  <c r="AT3" i="179"/>
  <c r="AT4" i="179"/>
  <c r="AT5" i="179"/>
  <c r="AT2" i="179"/>
  <c r="A1" i="193"/>
  <c r="A1" i="192" l="1"/>
  <c r="A19" i="179" l="1"/>
  <c r="F18" i="179"/>
  <c r="A16" i="179" l="1"/>
  <c r="A1" i="190" l="1"/>
  <c r="A1" i="189" l="1"/>
  <c r="A1" i="188"/>
  <c r="A1" i="187"/>
  <c r="A1" i="185" l="1"/>
  <c r="A1" i="184"/>
  <c r="A1" i="174"/>
  <c r="A1" i="181"/>
  <c r="A1" i="169"/>
  <c r="A1" i="1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yagi</author>
  </authors>
  <commentList>
    <comment ref="B3" authorId="0" shapeId="0" xr:uid="{386DFB38-D941-4692-9918-1686E12F7BAE}">
      <text>
        <r>
          <rPr>
            <sz val="9"/>
            <color indexed="81"/>
            <rFont val="ＭＳ Ｐゴシック"/>
            <family val="3"/>
            <charset val="128"/>
          </rPr>
          <t>TABLE または VIEW を指定してください</t>
        </r>
      </text>
    </comment>
    <comment ref="C3" authorId="0" shapeId="0" xr:uid="{36F6A7A1-26EB-493E-95DF-4E70B0ED52EA}">
      <text>
        <r>
          <rPr>
            <sz val="9"/>
            <color indexed="81"/>
            <rFont val="ＭＳ Ｐゴシック"/>
            <family val="3"/>
            <charset val="128"/>
          </rPr>
          <t>TABLE または VIEW を指定してください</t>
        </r>
      </text>
    </comment>
    <comment ref="D3" authorId="0" shapeId="0" xr:uid="{AF189648-412C-49D0-B4C8-56CAA59F7625}">
      <text>
        <r>
          <rPr>
            <sz val="9"/>
            <color indexed="81"/>
            <rFont val="ＭＳ Ｐゴシック"/>
            <family val="3"/>
            <charset val="128"/>
          </rPr>
          <t>論理テーブル名を記入してください</t>
        </r>
      </text>
    </comment>
    <comment ref="E3" authorId="0" shapeId="0" xr:uid="{303F6758-96DD-4364-BED0-901B724917D7}">
      <text>
        <r>
          <rPr>
            <sz val="9"/>
            <color indexed="81"/>
            <rFont val="ＭＳ Ｐゴシック"/>
            <family val="3"/>
            <charset val="128"/>
          </rPr>
          <t>物理テーブル名を記入してください</t>
        </r>
      </text>
    </comment>
    <comment ref="F3" authorId="0" shapeId="0" xr:uid="{0CE6BACB-C26F-4681-A940-542103DCCB58}">
      <text>
        <r>
          <rPr>
            <sz val="9"/>
            <color indexed="81"/>
            <rFont val="ＭＳ Ｐゴシック"/>
            <family val="3"/>
            <charset val="128"/>
          </rPr>
          <t>列IDを連番で記入してください</t>
        </r>
      </text>
    </comment>
    <comment ref="G3" authorId="0" shapeId="0" xr:uid="{00F98C5C-AA55-43F9-B310-BA6BB188FB5D}">
      <text>
        <r>
          <rPr>
            <sz val="9"/>
            <color indexed="81"/>
            <rFont val="ＭＳ Ｐゴシック"/>
            <family val="3"/>
            <charset val="128"/>
          </rPr>
          <t>論理カラム名を記入してください</t>
        </r>
      </text>
    </comment>
    <comment ref="H3" authorId="0" shapeId="0" xr:uid="{A40B042E-5C4E-4390-A76A-08F3F0C01937}">
      <text>
        <r>
          <rPr>
            <sz val="9"/>
            <color indexed="81"/>
            <rFont val="ＭＳ Ｐゴシック"/>
            <family val="3"/>
            <charset val="128"/>
          </rPr>
          <t>物理カラム名を記入してください</t>
        </r>
      </text>
    </comment>
    <comment ref="I3" authorId="0" shapeId="0" xr:uid="{AC256E89-CEE2-41CE-B92A-C5EAD1A4260B}">
      <text>
        <r>
          <rPr>
            <sz val="9"/>
            <color indexed="81"/>
            <rFont val="ＭＳ Ｐゴシック"/>
            <family val="3"/>
            <charset val="128"/>
          </rPr>
          <t>データ型を記入してください</t>
        </r>
      </text>
    </comment>
    <comment ref="J3" authorId="0" shapeId="0" xr:uid="{01B2684F-58B1-4B2E-AFB7-0B4E5BAFEE78}">
      <text>
        <r>
          <rPr>
            <sz val="9"/>
            <color indexed="81"/>
            <rFont val="ＭＳ Ｐゴシック"/>
            <family val="3"/>
            <charset val="128"/>
          </rPr>
          <t>データ型の長さ(精度)を記入してください</t>
        </r>
      </text>
    </comment>
    <comment ref="K3" authorId="0" shapeId="0" xr:uid="{05CD6B38-B03A-443C-B776-942971D53AD6}">
      <text>
        <r>
          <rPr>
            <sz val="9"/>
            <color indexed="81"/>
            <rFont val="ＭＳ Ｐゴシック"/>
            <family val="3"/>
            <charset val="128"/>
          </rPr>
          <t>Not Null の場合、'Yes'を記入してください</t>
        </r>
      </text>
    </comment>
    <comment ref="L3" authorId="0" shapeId="0" xr:uid="{B8BF0AD7-257E-4382-A5E3-16A58ACEB92B}">
      <text>
        <r>
          <rPr>
            <sz val="9"/>
            <color indexed="81"/>
            <rFont val="ＭＳ Ｐゴシック"/>
            <family val="3"/>
            <charset val="128"/>
          </rPr>
          <t>主キー項目の場合、数値または'Yes'を記入してください</t>
        </r>
      </text>
    </comment>
    <comment ref="M3" authorId="0" shapeId="0" xr:uid="{03331C0E-E1BC-4B3E-A73A-E8B4A3114129}">
      <text>
        <r>
          <rPr>
            <sz val="9"/>
            <color indexed="81"/>
            <rFont val="ＭＳ Ｐゴシック"/>
            <family val="3"/>
            <charset val="128"/>
          </rPr>
          <t>外部キー項目の場合'Yes'を記入してください</t>
        </r>
      </text>
    </comment>
    <comment ref="N3" authorId="0" shapeId="0" xr:uid="{9522037D-5AED-4138-AE5C-6EDD7EC9F679}">
      <text>
        <r>
          <rPr>
            <sz val="9"/>
            <color indexed="81"/>
            <rFont val="ＭＳ Ｐゴシック"/>
            <family val="3"/>
            <charset val="128"/>
          </rPr>
          <t>外部キーが参照するテーブル名、もしくは 「テーブル名.カラム名」 を指定してください</t>
        </r>
      </text>
    </comment>
    <comment ref="O3" authorId="0" shapeId="0" xr:uid="{C2C8DEF1-B84A-4DD7-AEED-9FD5F0961621}">
      <text>
        <r>
          <rPr>
            <sz val="9"/>
            <color indexed="81"/>
            <rFont val="ＭＳ Ｐゴシック"/>
            <family val="3"/>
            <charset val="128"/>
          </rPr>
          <t>参照するテーブルに依存する場合、'Yes'を記入してください</t>
        </r>
      </text>
    </comment>
    <comment ref="P3" authorId="0" shapeId="0" xr:uid="{A1390A96-4362-40F0-9845-3DB3B0ACE401}">
      <text>
        <r>
          <rPr>
            <sz val="9"/>
            <color indexed="81"/>
            <rFont val="ＭＳ Ｐゴシック"/>
            <family val="3"/>
            <charset val="128"/>
          </rPr>
          <t>列の規定値を設定してください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<sst xmlns="http://schemas.openxmlformats.org/spreadsheetml/2006/main" count="742" uniqueCount="358">
  <si>
    <t>項番</t>
  </si>
  <si>
    <t>概要</t>
  </si>
  <si>
    <t>条件</t>
    <rPh sb="0" eb="2">
      <t>ジョウケン</t>
    </rPh>
    <phoneticPr fontId="1"/>
  </si>
  <si>
    <t>備考</t>
    <rPh sb="0" eb="2">
      <t>ビコウ</t>
    </rPh>
    <phoneticPr fontId="1"/>
  </si>
  <si>
    <t>更新日時</t>
    <rPh sb="0" eb="2">
      <t>コウシン</t>
    </rPh>
    <rPh sb="2" eb="4">
      <t>ニチジ</t>
    </rPh>
    <phoneticPr fontId="1"/>
  </si>
  <si>
    <t>担当者</t>
    <rPh sb="0" eb="2">
      <t>タントウ</t>
    </rPh>
    <rPh sb="2" eb="3">
      <t>シャ</t>
    </rPh>
    <phoneticPr fontId="1"/>
  </si>
  <si>
    <t>対象シート</t>
    <rPh sb="0" eb="2">
      <t>タイショウ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</si>
  <si>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</si>
  <si>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</si>
  <si>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オブジェクト名</t>
    <rPh sb="6" eb="7">
      <t>ナ</t>
    </rPh>
    <phoneticPr fontId="1"/>
  </si>
  <si>
    <t>概要</t>
    <rPh sb="0" eb="2">
      <t>ガイヨウ</t>
    </rPh>
    <phoneticPr fontId="1"/>
  </si>
  <si>
    <t>種類</t>
    <rPh sb="0" eb="2">
      <t>シュルイ</t>
    </rPh>
    <phoneticPr fontId="1"/>
  </si>
  <si>
    <t>STEP1</t>
    <phoneticPr fontId="1"/>
  </si>
  <si>
    <t>STEP１</t>
    <phoneticPr fontId="1"/>
  </si>
  <si>
    <t>In／Out</t>
    <phoneticPr fontId="1"/>
  </si>
  <si>
    <t>Input</t>
    <phoneticPr fontId="1"/>
  </si>
  <si>
    <t>項目名</t>
    <rPh sb="0" eb="2">
      <t>コウモク</t>
    </rPh>
    <rPh sb="2" eb="3">
      <t>ナ</t>
    </rPh>
    <phoneticPr fontId="1"/>
  </si>
  <si>
    <t>TextBox</t>
    <phoneticPr fontId="1"/>
  </si>
  <si>
    <t>　業務支援ツール</t>
    <rPh sb="1" eb="3">
      <t>ギョウム</t>
    </rPh>
    <rPh sb="3" eb="5">
      <t>シエン</t>
    </rPh>
    <phoneticPr fontId="1"/>
  </si>
  <si>
    <t>仕様書</t>
    <rPh sb="0" eb="3">
      <t>シヨウショ</t>
    </rPh>
    <phoneticPr fontId="1"/>
  </si>
  <si>
    <t>現在バージョン</t>
    <rPh sb="0" eb="2">
      <t>ゲンザイ</t>
    </rPh>
    <phoneticPr fontId="9"/>
  </si>
  <si>
    <t>Ver</t>
    <phoneticPr fontId="1"/>
  </si>
  <si>
    <t>１．全体構成図</t>
    <rPh sb="2" eb="4">
      <t>ゼンタイ</t>
    </rPh>
    <rPh sb="4" eb="7">
      <t>コウセイズ</t>
    </rPh>
    <phoneticPr fontId="1"/>
  </si>
  <si>
    <t>１．入出力一覧</t>
    <rPh sb="2" eb="5">
      <t>ニュウシュツリョク</t>
    </rPh>
    <rPh sb="5" eb="7">
      <t>イチラン</t>
    </rPh>
    <phoneticPr fontId="1"/>
  </si>
  <si>
    <t>１．正常系</t>
    <rPh sb="2" eb="4">
      <t>セイジョウ</t>
    </rPh>
    <rPh sb="4" eb="5">
      <t>ケイ</t>
    </rPh>
    <phoneticPr fontId="1"/>
  </si>
  <si>
    <t>２．ツール概要</t>
    <rPh sb="5" eb="7">
      <t>ガイヨウ</t>
    </rPh>
    <phoneticPr fontId="1"/>
  </si>
  <si>
    <t>２．異常系</t>
    <rPh sb="2" eb="4">
      <t>イジョウ</t>
    </rPh>
    <rPh sb="4" eb="5">
      <t>ケイ</t>
    </rPh>
    <phoneticPr fontId="1"/>
  </si>
  <si>
    <t>３．ファイル構成</t>
    <rPh sb="6" eb="8">
      <t>コウセイ</t>
    </rPh>
    <phoneticPr fontId="1"/>
  </si>
  <si>
    <t>プログラム本体</t>
    <rPh sb="5" eb="7">
      <t>ホンタイ</t>
    </rPh>
    <phoneticPr fontId="1"/>
  </si>
  <si>
    <t>１．メイン画面</t>
    <rPh sb="5" eb="7">
      <t>ガメン</t>
    </rPh>
    <phoneticPr fontId="1"/>
  </si>
  <si>
    <t>１．帳票定義</t>
    <rPh sb="2" eb="6">
      <t>チョウヒョウテイギ</t>
    </rPh>
    <phoneticPr fontId="1"/>
  </si>
  <si>
    <t>２．項目一覧</t>
    <rPh sb="2" eb="4">
      <t>コウモク</t>
    </rPh>
    <rPh sb="4" eb="6">
      <t>イチラン</t>
    </rPh>
    <phoneticPr fontId="1"/>
  </si>
  <si>
    <t>帳票名</t>
    <rPh sb="0" eb="2">
      <t>チョウヒョウ</t>
    </rPh>
    <rPh sb="2" eb="3">
      <t>メイ</t>
    </rPh>
    <phoneticPr fontId="1"/>
  </si>
  <si>
    <t>新規/既存</t>
    <rPh sb="0" eb="2">
      <t>シンキ</t>
    </rPh>
    <rPh sb="3" eb="5">
      <t>キゾン</t>
    </rPh>
    <phoneticPr fontId="1"/>
  </si>
  <si>
    <t>ファイル形式</t>
    <rPh sb="4" eb="6">
      <t>ケイシキ</t>
    </rPh>
    <phoneticPr fontId="1"/>
  </si>
  <si>
    <t>保存ファイル名</t>
    <rPh sb="0" eb="2">
      <t>ホゾン</t>
    </rPh>
    <rPh sb="6" eb="7">
      <t>メイ</t>
    </rPh>
    <phoneticPr fontId="1"/>
  </si>
  <si>
    <t>保存パス</t>
    <rPh sb="0" eb="2">
      <t>ホゾン</t>
    </rPh>
    <phoneticPr fontId="1"/>
  </si>
  <si>
    <t>項番</t>
    <rPh sb="0" eb="2">
      <t>コウバン</t>
    </rPh>
    <phoneticPr fontId="1"/>
  </si>
  <si>
    <t>項目名</t>
    <rPh sb="0" eb="2">
      <t>コウモク</t>
    </rPh>
    <rPh sb="2" eb="3">
      <t>メイ</t>
    </rPh>
    <phoneticPr fontId="1"/>
  </si>
  <si>
    <t>データ元</t>
    <rPh sb="3" eb="4">
      <t>モト</t>
    </rPh>
    <phoneticPr fontId="1"/>
  </si>
  <si>
    <t>使用先</t>
    <rPh sb="0" eb="2">
      <t>シヨウ</t>
    </rPh>
    <rPh sb="2" eb="3">
      <t>サキ</t>
    </rPh>
    <phoneticPr fontId="1"/>
  </si>
  <si>
    <t>メッセージ内容</t>
    <rPh sb="5" eb="7">
      <t>ナイヨウ</t>
    </rPh>
    <phoneticPr fontId="1"/>
  </si>
  <si>
    <t>１．出力ファイル</t>
    <rPh sb="2" eb="4">
      <t>シュツリョク</t>
    </rPh>
    <phoneticPr fontId="1"/>
  </si>
  <si>
    <t>ファイル名</t>
    <rPh sb="4" eb="5">
      <t>メイ</t>
    </rPh>
    <phoneticPr fontId="1"/>
  </si>
  <si>
    <t>出力パス</t>
    <rPh sb="0" eb="2">
      <t>シュツリョク</t>
    </rPh>
    <phoneticPr fontId="1"/>
  </si>
  <si>
    <t>エラー内容種別</t>
    <rPh sb="3" eb="5">
      <t>ナイヨウ</t>
    </rPh>
    <rPh sb="5" eb="7">
      <t>シュベツ</t>
    </rPh>
    <phoneticPr fontId="1"/>
  </si>
  <si>
    <t>フォーマット</t>
    <phoneticPr fontId="1"/>
  </si>
  <si>
    <t>２．ログフォーマット</t>
    <phoneticPr fontId="1"/>
  </si>
  <si>
    <t>入力制限</t>
    <rPh sb="0" eb="2">
      <t>ニュウリョク</t>
    </rPh>
    <rPh sb="2" eb="4">
      <t>セイゲン</t>
    </rPh>
    <phoneticPr fontId="1"/>
  </si>
  <si>
    <t>特記事項</t>
    <rPh sb="0" eb="2">
      <t>トッキ</t>
    </rPh>
    <rPh sb="2" eb="4">
      <t>ジコウ</t>
    </rPh>
    <phoneticPr fontId="1"/>
  </si>
  <si>
    <t>備考</t>
    <rPh sb="0" eb="2">
      <t>ビコウ</t>
    </rPh>
    <phoneticPr fontId="1"/>
  </si>
  <si>
    <t>４．動作環境</t>
    <rPh sb="2" eb="4">
      <t>ドウサ</t>
    </rPh>
    <rPh sb="4" eb="6">
      <t>カンキョウ</t>
    </rPh>
    <phoneticPr fontId="1"/>
  </si>
  <si>
    <t>１．ツール化の背景</t>
    <rPh sb="5" eb="6">
      <t>カ</t>
    </rPh>
    <rPh sb="7" eb="9">
      <t>ハイケイ</t>
    </rPh>
    <phoneticPr fontId="1"/>
  </si>
  <si>
    <t>２．ツール利用目的</t>
    <rPh sb="5" eb="7">
      <t>リヨウ</t>
    </rPh>
    <rPh sb="7" eb="9">
      <t>モクテキ</t>
    </rPh>
    <phoneticPr fontId="1"/>
  </si>
  <si>
    <t>P契約周りのメール配信業務の負荷を下げるべく作成されたCATS</t>
    <phoneticPr fontId="1"/>
  </si>
  <si>
    <t>部会でその素晴らしさを共有した所、別Gでも類似した業務があり、同様の不をツールで解消したいとの要望が発生</t>
    <phoneticPr fontId="1"/>
  </si>
  <si>
    <t>■CATSの現行機能はそのまま、他部署でも利用できるよう機能アップする</t>
    <phoneticPr fontId="1"/>
  </si>
  <si>
    <t>■汎用的に対応可能な事前設定画面をいくつか設ける</t>
    <phoneticPr fontId="1"/>
  </si>
  <si>
    <t>■とはいえ、本ツールの利用想定はアラマネ部内のみとする</t>
    <phoneticPr fontId="1"/>
  </si>
  <si>
    <t>他、従属するファイル</t>
    <rPh sb="0" eb="1">
      <t>ホカ</t>
    </rPh>
    <rPh sb="2" eb="4">
      <t>ジュウゾク</t>
    </rPh>
    <phoneticPr fontId="1"/>
  </si>
  <si>
    <t>インプットテーブル名</t>
    <rPh sb="9" eb="10">
      <t>メイ</t>
    </rPh>
    <phoneticPr fontId="1"/>
  </si>
  <si>
    <t>データ元ファイル名</t>
    <rPh sb="3" eb="4">
      <t>モト</t>
    </rPh>
    <rPh sb="8" eb="9">
      <t>メイ</t>
    </rPh>
    <phoneticPr fontId="1"/>
  </si>
  <si>
    <t>データ元シート名</t>
    <rPh sb="3" eb="4">
      <t>モト</t>
    </rPh>
    <rPh sb="7" eb="8">
      <t>メイ</t>
    </rPh>
    <phoneticPr fontId="1"/>
  </si>
  <si>
    <t>データ元項目名</t>
    <rPh sb="3" eb="4">
      <t>モト</t>
    </rPh>
    <rPh sb="4" eb="7">
      <t>コウモクメイ</t>
    </rPh>
    <phoneticPr fontId="1"/>
  </si>
  <si>
    <t>アウトプットフォルダ</t>
    <phoneticPr fontId="1"/>
  </si>
  <si>
    <t>アウトプットファイル・シート</t>
    <phoneticPr fontId="1"/>
  </si>
  <si>
    <t>出力内容概要</t>
    <rPh sb="0" eb="2">
      <t>シュツリョク</t>
    </rPh>
    <rPh sb="2" eb="4">
      <t>ナイヨウ</t>
    </rPh>
    <rPh sb="4" eb="6">
      <t>ガイヨウ</t>
    </rPh>
    <phoneticPr fontId="1"/>
  </si>
  <si>
    <t>STEP１</t>
    <phoneticPr fontId="1"/>
  </si>
  <si>
    <t>３．出力条件一覧</t>
    <rPh sb="2" eb="4">
      <t>シュツリョク</t>
    </rPh>
    <rPh sb="4" eb="8">
      <t>ジョウケンイチラン</t>
    </rPh>
    <phoneticPr fontId="1"/>
  </si>
  <si>
    <t>インプット</t>
    <phoneticPr fontId="1"/>
  </si>
  <si>
    <t>集計ロジック</t>
    <rPh sb="0" eb="2">
      <t>シュウケイ</t>
    </rPh>
    <phoneticPr fontId="1"/>
  </si>
  <si>
    <t>取込ロジック</t>
    <rPh sb="0" eb="2">
      <t>トリコミ</t>
    </rPh>
    <phoneticPr fontId="1"/>
  </si>
  <si>
    <t>スペース</t>
    <phoneticPr fontId="20"/>
  </si>
  <si>
    <t>種類(Table/View)</t>
  </si>
  <si>
    <t>表名(論理)</t>
  </si>
  <si>
    <t>表名(物理)</t>
  </si>
  <si>
    <t>列No.</t>
  </si>
  <si>
    <t>列名(論理)</t>
    <phoneticPr fontId="1"/>
  </si>
  <si>
    <t>列名(物理)</t>
  </si>
  <si>
    <t>種別</t>
    <phoneticPr fontId="1"/>
  </si>
  <si>
    <t>桁数</t>
    <phoneticPr fontId="1"/>
  </si>
  <si>
    <t>必須</t>
  </si>
  <si>
    <t>主キー</t>
  </si>
  <si>
    <t>外部キー</t>
  </si>
  <si>
    <t>参照表(列)名</t>
    <phoneticPr fontId="20"/>
  </si>
  <si>
    <t>依存</t>
  </si>
  <si>
    <t>規定値</t>
  </si>
  <si>
    <t>ｐｏｐｕｌａ【テスト環境】</t>
    <phoneticPr fontId="20"/>
  </si>
  <si>
    <t>TABLE</t>
  </si>
  <si>
    <t>1</t>
    <phoneticPr fontId="20"/>
  </si>
  <si>
    <t>テスト名</t>
  </si>
  <si>
    <t>文字列（1行）</t>
  </si>
  <si>
    <t>Yes</t>
    <phoneticPr fontId="20"/>
  </si>
  <si>
    <t>個人C</t>
  </si>
  <si>
    <t>数値</t>
  </si>
  <si>
    <t>氏名</t>
  </si>
  <si>
    <t>在籍情報(確定)</t>
  </si>
  <si>
    <t>関連レコード一覧</t>
  </si>
  <si>
    <t>主務</t>
  </si>
  <si>
    <t>個人用アドレス</t>
  </si>
  <si>
    <t>配信日付</t>
  </si>
  <si>
    <t>日付</t>
  </si>
  <si>
    <t>権限G</t>
  </si>
  <si>
    <t>グループ</t>
  </si>
  <si>
    <t>権限組織</t>
  </si>
  <si>
    <t>組織選択</t>
  </si>
  <si>
    <t>横断管轄</t>
  </si>
  <si>
    <t>契約法人</t>
  </si>
  <si>
    <t>配属拠点</t>
  </si>
  <si>
    <t>配信キー</t>
  </si>
  <si>
    <t>組合せコード</t>
  </si>
  <si>
    <t>合格済試験 DEV</t>
    <phoneticPr fontId="20"/>
  </si>
  <si>
    <t>再受験</t>
  </si>
  <si>
    <t>チェックボックス</t>
  </si>
  <si>
    <t>試験対象 DEV</t>
    <phoneticPr fontId="20"/>
  </si>
  <si>
    <t>在籍情報ALL DEV.個人C</t>
    <phoneticPr fontId="20"/>
  </si>
  <si>
    <t>個人コード</t>
  </si>
  <si>
    <t>ｐｏｐｕｌａ【テスト環境】</t>
  </si>
  <si>
    <t>在籍状況</t>
  </si>
  <si>
    <t>業績管理コードHR</t>
  </si>
  <si>
    <t>業績管理コードFM</t>
  </si>
  <si>
    <t>契約法人コード</t>
  </si>
  <si>
    <t>管轄法人コード</t>
  </si>
  <si>
    <t>管轄法人</t>
  </si>
  <si>
    <t>R契約区分</t>
  </si>
  <si>
    <t>HR契約区分</t>
  </si>
  <si>
    <t>FM契約区分</t>
  </si>
  <si>
    <t>拠点/部署</t>
  </si>
  <si>
    <t>チーム/部課</t>
  </si>
  <si>
    <t>氏</t>
  </si>
  <si>
    <t>名</t>
  </si>
  <si>
    <t>ﾌﾘｶﾞﾅ（氏）</t>
  </si>
  <si>
    <t>ﾌﾘｶﾞﾅ（名）</t>
  </si>
  <si>
    <t>役職名</t>
  </si>
  <si>
    <t>入社日</t>
  </si>
  <si>
    <t>退職日</t>
  </si>
  <si>
    <t>主務大分類</t>
  </si>
  <si>
    <t>主務小分類</t>
  </si>
  <si>
    <t>職種大分類</t>
  </si>
  <si>
    <t>職種小分類</t>
  </si>
  <si>
    <t>リンク</t>
  </si>
  <si>
    <t>雇用形態</t>
  </si>
  <si>
    <t>新卒フラグ</t>
  </si>
  <si>
    <t>週3日以内勤務</t>
  </si>
  <si>
    <t>Indeed取扱フラグ</t>
  </si>
  <si>
    <t>作成日時</t>
  </si>
  <si>
    <t>最終更新日時</t>
  </si>
  <si>
    <t>更新日時</t>
  </si>
  <si>
    <t>レコード番号</t>
  </si>
  <si>
    <t>ID受験者試験パスワード DEV</t>
    <phoneticPr fontId="20"/>
  </si>
  <si>
    <t>試験用パスワード</t>
  </si>
  <si>
    <t>業績管理コード（HR）</t>
  </si>
  <si>
    <t>業績管理コード（FM）</t>
  </si>
  <si>
    <t>最新配信日付</t>
  </si>
  <si>
    <t>対象試験一覧</t>
  </si>
  <si>
    <t>在籍情報ALL DEV</t>
    <phoneticPr fontId="20"/>
  </si>
  <si>
    <t>ドロップダウン</t>
  </si>
  <si>
    <t>住所情報</t>
  </si>
  <si>
    <t>主務分類</t>
  </si>
  <si>
    <t>職種分類</t>
  </si>
  <si>
    <t>同意チェック</t>
  </si>
  <si>
    <t>非表示項目</t>
  </si>
  <si>
    <t>作成者</t>
  </si>
  <si>
    <t>2</t>
    <phoneticPr fontId="20"/>
  </si>
  <si>
    <t>3</t>
    <phoneticPr fontId="20"/>
  </si>
  <si>
    <t>4</t>
    <phoneticPr fontId="20"/>
  </si>
  <si>
    <t>5</t>
    <phoneticPr fontId="20"/>
  </si>
  <si>
    <t>6</t>
    <phoneticPr fontId="20"/>
  </si>
  <si>
    <t>7</t>
    <phoneticPr fontId="20"/>
  </si>
  <si>
    <t>8</t>
    <phoneticPr fontId="20"/>
  </si>
  <si>
    <t>9</t>
    <phoneticPr fontId="20"/>
  </si>
  <si>
    <t>10</t>
    <phoneticPr fontId="20"/>
  </si>
  <si>
    <t>11</t>
    <phoneticPr fontId="20"/>
  </si>
  <si>
    <t>12</t>
    <phoneticPr fontId="20"/>
  </si>
  <si>
    <t>13</t>
    <phoneticPr fontId="20"/>
  </si>
  <si>
    <t>14</t>
    <phoneticPr fontId="20"/>
  </si>
  <si>
    <t>15</t>
    <phoneticPr fontId="20"/>
  </si>
  <si>
    <t>16</t>
    <phoneticPr fontId="20"/>
  </si>
  <si>
    <t>17</t>
    <phoneticPr fontId="20"/>
  </si>
  <si>
    <t>18</t>
    <phoneticPr fontId="20"/>
  </si>
  <si>
    <t>19</t>
    <phoneticPr fontId="20"/>
  </si>
  <si>
    <t>20</t>
    <phoneticPr fontId="20"/>
  </si>
  <si>
    <t>21</t>
    <phoneticPr fontId="20"/>
  </si>
  <si>
    <t>22</t>
    <phoneticPr fontId="20"/>
  </si>
  <si>
    <t>23</t>
    <phoneticPr fontId="20"/>
  </si>
  <si>
    <t>24</t>
    <phoneticPr fontId="20"/>
  </si>
  <si>
    <t>25</t>
    <phoneticPr fontId="20"/>
  </si>
  <si>
    <t>26</t>
    <phoneticPr fontId="20"/>
  </si>
  <si>
    <t>27</t>
    <phoneticPr fontId="20"/>
  </si>
  <si>
    <t>28</t>
    <phoneticPr fontId="20"/>
  </si>
  <si>
    <t>29</t>
    <phoneticPr fontId="20"/>
  </si>
  <si>
    <t>30</t>
    <phoneticPr fontId="20"/>
  </si>
  <si>
    <t>31</t>
    <phoneticPr fontId="20"/>
  </si>
  <si>
    <t>32</t>
    <phoneticPr fontId="20"/>
  </si>
  <si>
    <t>33</t>
    <phoneticPr fontId="20"/>
  </si>
  <si>
    <t>34</t>
    <phoneticPr fontId="20"/>
  </si>
  <si>
    <t>35</t>
    <phoneticPr fontId="20"/>
  </si>
  <si>
    <t>36</t>
    <phoneticPr fontId="20"/>
  </si>
  <si>
    <t>37</t>
    <phoneticPr fontId="20"/>
  </si>
  <si>
    <t>38</t>
    <phoneticPr fontId="20"/>
  </si>
  <si>
    <t>39</t>
    <phoneticPr fontId="20"/>
  </si>
  <si>
    <t>40</t>
    <phoneticPr fontId="20"/>
  </si>
  <si>
    <t>41</t>
    <phoneticPr fontId="20"/>
  </si>
  <si>
    <t>２．取込条件一覧</t>
    <rPh sb="2" eb="3">
      <t>ト</t>
    </rPh>
    <rPh sb="3" eb="4">
      <t>コ</t>
    </rPh>
    <rPh sb="4" eb="8">
      <t>ジョウケンイチラン</t>
    </rPh>
    <phoneticPr fontId="1"/>
  </si>
  <si>
    <t>凡例：</t>
    <rPh sb="0" eb="2">
      <t>ハンレイ</t>
    </rPh>
    <phoneticPr fontId="23"/>
  </si>
  <si>
    <t>動作環境</t>
    <rPh sb="0" eb="4">
      <t>ドウサカンキョウ</t>
    </rPh>
    <phoneticPr fontId="1"/>
  </si>
  <si>
    <t>Office</t>
    <phoneticPr fontId="1"/>
  </si>
  <si>
    <t>MS 365</t>
  </si>
  <si>
    <t>開発環境</t>
    <rPh sb="0" eb="4">
      <t>カイハツカンキョウ</t>
    </rPh>
    <phoneticPr fontId="1"/>
  </si>
  <si>
    <t>○</t>
    <phoneticPr fontId="1"/>
  </si>
  <si>
    <t>R-ICT Win</t>
    <phoneticPr fontId="1"/>
  </si>
  <si>
    <t>×</t>
    <phoneticPr fontId="1"/>
  </si>
  <si>
    <t>△</t>
    <phoneticPr fontId="1"/>
  </si>
  <si>
    <t>各拠点</t>
    <rPh sb="0" eb="1">
      <t>カク</t>
    </rPh>
    <rPh sb="1" eb="3">
      <t>キョテン</t>
    </rPh>
    <phoneticPr fontId="1"/>
  </si>
  <si>
    <t>各拠点以外（自宅他）</t>
    <rPh sb="0" eb="3">
      <t>カクキョテン</t>
    </rPh>
    <rPh sb="3" eb="5">
      <t>イガイ</t>
    </rPh>
    <phoneticPr fontId="1"/>
  </si>
  <si>
    <t>[MUSEN LAN]</t>
    <phoneticPr fontId="1"/>
  </si>
  <si>
    <t>[エニーコネクト]</t>
    <phoneticPr fontId="1"/>
  </si>
  <si>
    <t>接続場所[通信手段]</t>
    <rPh sb="0" eb="2">
      <t>セツゾク</t>
    </rPh>
    <rPh sb="2" eb="4">
      <t>バショ</t>
    </rPh>
    <rPh sb="5" eb="7">
      <t>ツウシン</t>
    </rPh>
    <rPh sb="7" eb="9">
      <t>シュダン</t>
    </rPh>
    <phoneticPr fontId="1"/>
  </si>
  <si>
    <t>ローカル配置</t>
    <rPh sb="4" eb="6">
      <t>ハイチ</t>
    </rPh>
    <phoneticPr fontId="1"/>
  </si>
  <si>
    <t>共有ディスク配置</t>
    <rPh sb="0" eb="2">
      <t>キョウユウ</t>
    </rPh>
    <rPh sb="6" eb="8">
      <t>ハイチ</t>
    </rPh>
    <phoneticPr fontId="1"/>
  </si>
  <si>
    <t>△：DBなどから大量データをインプットしている場合、ツール本体はデスクトップなどのローカル配置推奨</t>
    <rPh sb="8" eb="10">
      <t>タイリョウ</t>
    </rPh>
    <rPh sb="23" eb="25">
      <t>バアイ</t>
    </rPh>
    <rPh sb="29" eb="31">
      <t>ホンタイ</t>
    </rPh>
    <rPh sb="45" eb="47">
      <t>ハイチ</t>
    </rPh>
    <rPh sb="47" eb="49">
      <t>スイショウ</t>
    </rPh>
    <phoneticPr fontId="1"/>
  </si>
  <si>
    <t>結果</t>
    <rPh sb="0" eb="2">
      <t>ケッカ</t>
    </rPh>
    <phoneticPr fontId="1"/>
  </si>
  <si>
    <t>ローカル</t>
  </si>
  <si>
    <t>ローカル</t>
    <phoneticPr fontId="1"/>
  </si>
  <si>
    <t>ツール本体配置場所</t>
    <rPh sb="3" eb="5">
      <t>ホンタイ</t>
    </rPh>
    <rPh sb="5" eb="9">
      <t>ハイチバショ</t>
    </rPh>
    <phoneticPr fontId="1"/>
  </si>
  <si>
    <t>共有ディスク</t>
  </si>
  <si>
    <t>共有ディスク</t>
    <rPh sb="0" eb="2">
      <t>キョウユウ</t>
    </rPh>
    <phoneticPr fontId="1"/>
  </si>
  <si>
    <t>R内DB接続</t>
    <rPh sb="1" eb="2">
      <t>ナイ</t>
    </rPh>
    <rPh sb="4" eb="6">
      <t>セツゾク</t>
    </rPh>
    <phoneticPr fontId="1"/>
  </si>
  <si>
    <t>〃</t>
    <phoneticPr fontId="1"/>
  </si>
  <si>
    <t>△：DBから大量データをインプットしている場合、処理が終わらない場合あり</t>
    <rPh sb="6" eb="8">
      <t>タイリョウ</t>
    </rPh>
    <rPh sb="21" eb="23">
      <t>バアイ</t>
    </rPh>
    <rPh sb="24" eb="26">
      <t>ショリ</t>
    </rPh>
    <rPh sb="27" eb="28">
      <t>オ</t>
    </rPh>
    <rPh sb="32" eb="34">
      <t>バアイ</t>
    </rPh>
    <phoneticPr fontId="1"/>
  </si>
  <si>
    <t>×：エニーコネクト経由の場合、ツール本体はデスクトップなどのローカルに配置しないと処理が終わらない</t>
    <rPh sb="9" eb="11">
      <t>ケイユウ</t>
    </rPh>
    <rPh sb="12" eb="14">
      <t>バアイ</t>
    </rPh>
    <rPh sb="18" eb="20">
      <t>ホンタイ</t>
    </rPh>
    <rPh sb="35" eb="37">
      <t>ハイチ</t>
    </rPh>
    <rPh sb="41" eb="43">
      <t>ショリ</t>
    </rPh>
    <rPh sb="44" eb="45">
      <t>オ</t>
    </rPh>
    <phoneticPr fontId="1"/>
  </si>
  <si>
    <t>接続環境 / R-ICT Win（動作検証結果）</t>
    <rPh sb="17" eb="21">
      <t>ドウサケンショウ</t>
    </rPh>
    <rPh sb="21" eb="23">
      <t>ケッカ</t>
    </rPh>
    <phoneticPr fontId="1"/>
  </si>
  <si>
    <t>※各拠点以外（エニーコネクト）の接続は、各々の回線速度（光回線、テザリング等）に依存するため、上記はあくまでも参考結果</t>
    <rPh sb="1" eb="4">
      <t>カクキョテン</t>
    </rPh>
    <rPh sb="4" eb="6">
      <t>イガイ</t>
    </rPh>
    <rPh sb="16" eb="18">
      <t>セツゾク</t>
    </rPh>
    <rPh sb="20" eb="22">
      <t>オノオノ</t>
    </rPh>
    <rPh sb="23" eb="25">
      <t>カイセン</t>
    </rPh>
    <rPh sb="25" eb="27">
      <t>ソクド</t>
    </rPh>
    <rPh sb="28" eb="29">
      <t>ヒカリ</t>
    </rPh>
    <rPh sb="29" eb="31">
      <t>カイセン</t>
    </rPh>
    <rPh sb="37" eb="38">
      <t>トウ</t>
    </rPh>
    <rPh sb="40" eb="42">
      <t>イゾン</t>
    </rPh>
    <rPh sb="47" eb="49">
      <t>ジョウキ</t>
    </rPh>
    <rPh sb="55" eb="57">
      <t>サンコウ</t>
    </rPh>
    <rPh sb="57" eb="59">
      <t>ケッカ</t>
    </rPh>
    <phoneticPr fontId="1"/>
  </si>
  <si>
    <t>◎</t>
    <phoneticPr fontId="1"/>
  </si>
  <si>
    <t>◎：推奨</t>
    <rPh sb="2" eb="4">
      <t>スイショウ</t>
    </rPh>
    <phoneticPr fontId="1"/>
  </si>
  <si>
    <t>背景・目的</t>
    <rPh sb="0" eb="2">
      <t>ハイケイ</t>
    </rPh>
    <rPh sb="3" eb="5">
      <t>モクテキ</t>
    </rPh>
    <phoneticPr fontId="1"/>
  </si>
  <si>
    <t>ツール概要</t>
    <rPh sb="3" eb="5">
      <t>ガイヨウ</t>
    </rPh>
    <phoneticPr fontId="1"/>
  </si>
  <si>
    <t>業務概要</t>
    <rPh sb="0" eb="2">
      <t>ギョウム</t>
    </rPh>
    <rPh sb="2" eb="4">
      <t>ガイヨウ</t>
    </rPh>
    <phoneticPr fontId="1"/>
  </si>
  <si>
    <t>入出力仕様</t>
    <rPh sb="0" eb="5">
      <t>ニュウシュツリョクシヨウ</t>
    </rPh>
    <phoneticPr fontId="1"/>
  </si>
  <si>
    <t>処理フロー図</t>
    <rPh sb="0" eb="2">
      <t>ショリ</t>
    </rPh>
    <rPh sb="5" eb="6">
      <t>ズ</t>
    </rPh>
    <phoneticPr fontId="1"/>
  </si>
  <si>
    <t>メッセージ一覧</t>
    <rPh sb="5" eb="7">
      <t>イチラン</t>
    </rPh>
    <phoneticPr fontId="1"/>
  </si>
  <si>
    <t>操作手順</t>
    <rPh sb="0" eb="4">
      <t>ソウサテジュン</t>
    </rPh>
    <phoneticPr fontId="1"/>
  </si>
  <si>
    <t>フォーマット仕様</t>
    <rPh sb="6" eb="8">
      <t>シヨウ</t>
    </rPh>
    <phoneticPr fontId="1"/>
  </si>
  <si>
    <t>※OneDrive同期している場合は、ローカルでもエラーとなるケースがあるため、同期していないローカル配置（Cドライブ直下など）を推奨</t>
    <rPh sb="9" eb="11">
      <t>ドウキ</t>
    </rPh>
    <rPh sb="15" eb="17">
      <t>バアイ</t>
    </rPh>
    <rPh sb="40" eb="42">
      <t>ドウキ</t>
    </rPh>
    <rPh sb="51" eb="53">
      <t>ハイチ</t>
    </rPh>
    <rPh sb="59" eb="61">
      <t>チョッカ</t>
    </rPh>
    <rPh sb="65" eb="67">
      <t>スイショウ</t>
    </rPh>
    <phoneticPr fontId="1"/>
  </si>
  <si>
    <t>必要最低限の列が存在すること（詳細は２．参照）</t>
    <rPh sb="0" eb="2">
      <t>ヒツヨウ</t>
    </rPh>
    <rPh sb="2" eb="5">
      <t>サイテイゲン</t>
    </rPh>
    <rPh sb="6" eb="7">
      <t>レツ</t>
    </rPh>
    <rPh sb="8" eb="10">
      <t>ソンザイ</t>
    </rPh>
    <rPh sb="15" eb="17">
      <t>ショウサイ</t>
    </rPh>
    <rPh sb="20" eb="22">
      <t>サンショウ</t>
    </rPh>
    <phoneticPr fontId="1"/>
  </si>
  <si>
    <t>項目定義</t>
    <rPh sb="0" eb="2">
      <t>コウモク</t>
    </rPh>
    <rPh sb="2" eb="4">
      <t>テイギ</t>
    </rPh>
    <phoneticPr fontId="1"/>
  </si>
  <si>
    <t>１．案件アラートチェック</t>
    <rPh sb="2" eb="4">
      <t>アンケン</t>
    </rPh>
    <phoneticPr fontId="1"/>
  </si>
  <si>
    <t>新フロー案：インプットが今まで通りcsvの場合</t>
    <rPh sb="0" eb="1">
      <t>シン</t>
    </rPh>
    <rPh sb="4" eb="5">
      <t>アン</t>
    </rPh>
    <rPh sb="12" eb="13">
      <t>イマ</t>
    </rPh>
    <rPh sb="15" eb="16">
      <t>ドオ</t>
    </rPh>
    <phoneticPr fontId="1"/>
  </si>
  <si>
    <t>新フロー案：kintoneに元データがある場合</t>
    <rPh sb="0" eb="1">
      <t>シン</t>
    </rPh>
    <rPh sb="4" eb="5">
      <t>アン</t>
    </rPh>
    <phoneticPr fontId="1"/>
  </si>
  <si>
    <t>CL向け案件アラート表一覧</t>
    <rPh sb="2" eb="3">
      <t>ム</t>
    </rPh>
    <rPh sb="4" eb="6">
      <t>アンケン</t>
    </rPh>
    <rPh sb="10" eb="11">
      <t>ヒョウ</t>
    </rPh>
    <rPh sb="11" eb="13">
      <t>イチラン</t>
    </rPh>
    <phoneticPr fontId="1"/>
  </si>
  <si>
    <t>yyyymmdd_案件アラートチェックシート</t>
    <rPh sb="9" eb="11">
      <t>アンケン</t>
    </rPh>
    <phoneticPr fontId="1"/>
  </si>
  <si>
    <t>.xlsx</t>
  </si>
  <si>
    <t>Output</t>
    <phoneticPr fontId="1"/>
  </si>
  <si>
    <t>CL向け案件アラート表一覧</t>
    <phoneticPr fontId="1"/>
  </si>
  <si>
    <t>資料請求日</t>
  </si>
  <si>
    <t>初回来場日</t>
    <rPh sb="0" eb="5">
      <t>ショカイライジョウビ</t>
    </rPh>
    <phoneticPr fontId="1"/>
  </si>
  <si>
    <t>お客様来場聞き取り日</t>
  </si>
  <si>
    <t>お客様成約聞き取り日</t>
  </si>
  <si>
    <t>反響種別</t>
    <rPh sb="0" eb="4">
      <t>ハンキョウシュベツ</t>
    </rPh>
    <phoneticPr fontId="1"/>
  </si>
  <si>
    <t>ご商談状況</t>
    <rPh sb="1" eb="5">
      <t>ショウダンジョウキョウ</t>
    </rPh>
    <phoneticPr fontId="1"/>
  </si>
  <si>
    <t>契約予定日</t>
    <rPh sb="0" eb="5">
      <t>ケイヤクヨテイビ</t>
    </rPh>
    <phoneticPr fontId="1"/>
  </si>
  <si>
    <t>成約聞き取り経路</t>
  </si>
  <si>
    <t>成約確認書初回提出日</t>
  </si>
  <si>
    <t>着工確認書初回提出日</t>
  </si>
  <si>
    <t>成約時不備チェック</t>
  </si>
  <si>
    <t>着工時不備チェック</t>
  </si>
  <si>
    <t>着工予定日（成約確認書）　※延期の申告を受けた場合は上書き</t>
  </si>
  <si>
    <t>最終更新日（クライアント）</t>
  </si>
  <si>
    <t>お客様来場日（来場キャンペーン応募情報）</t>
  </si>
  <si>
    <t>お客様来場日（来場キャンペーン応募情報）</t>
    <phoneticPr fontId="1"/>
  </si>
  <si>
    <t>yyyymmdd_案件アラートチェックシート</t>
    <phoneticPr fontId="1"/>
  </si>
  <si>
    <t>反響種別_来場</t>
  </si>
  <si>
    <t>資料請求日_30日前</t>
  </si>
  <si>
    <t>ご商談状況_契約済み</t>
  </si>
  <si>
    <t>ご商談状況_not契約済み</t>
  </si>
  <si>
    <t>ご商談状況_見積・仮契約</t>
  </si>
  <si>
    <t>ご商談状況_資料送付済み</t>
  </si>
  <si>
    <t>ご商談状況_来場済み</t>
  </si>
  <si>
    <t>ご商談状況_来場済み_土地探し</t>
  </si>
  <si>
    <t>初回来場日_null</t>
  </si>
  <si>
    <t>契約予定日_null</t>
  </si>
  <si>
    <t>契約予定日_7日以内</t>
  </si>
  <si>
    <t>契約予定日_前日前月</t>
  </si>
  <si>
    <t>契約予定日_前々月</t>
  </si>
  <si>
    <t>契約予定日_当月</t>
  </si>
  <si>
    <t>着工予定日_前日前月</t>
  </si>
  <si>
    <t>着工予定日_前々月</t>
  </si>
  <si>
    <t>着工予定日_当月</t>
  </si>
  <si>
    <t>最終更新日_30_70日前</t>
  </si>
  <si>
    <t>お客様来場日_notnull</t>
  </si>
  <si>
    <t>お客様来場聞き取り日_notnull</t>
  </si>
  <si>
    <t>お客様成約聞き取り日_notnull</t>
  </si>
  <si>
    <t>成約聞き取り経路_アンケート</t>
  </si>
  <si>
    <t>成約聞き取り経路_架電</t>
  </si>
  <si>
    <t>成約確認書初回提出日_null</t>
  </si>
  <si>
    <t>成約確認書初回提出日_notnull</t>
  </si>
  <si>
    <t>着工確認書初回提出日_null</t>
  </si>
  <si>
    <t>着工確認書初回提出日_notnull</t>
  </si>
  <si>
    <t>成約時不備チェック_確認中</t>
  </si>
  <si>
    <t>着工時不備チェック_確認中</t>
  </si>
  <si>
    <t>区分_1</t>
  </si>
  <si>
    <t>区分_2</t>
  </si>
  <si>
    <t>区分_3</t>
  </si>
  <si>
    <t>区分_4</t>
  </si>
  <si>
    <t>区分_5</t>
  </si>
  <si>
    <t>区分_6</t>
  </si>
  <si>
    <t>区分_7</t>
  </si>
  <si>
    <t>区分_8</t>
  </si>
  <si>
    <t>区分_9</t>
  </si>
  <si>
    <t>区分_10</t>
  </si>
  <si>
    <t>区分_11</t>
  </si>
  <si>
    <t>区分_12</t>
  </si>
  <si>
    <t>区分_13</t>
  </si>
  <si>
    <t>区分_14</t>
  </si>
  <si>
    <t>区分_15</t>
  </si>
  <si>
    <t>区分_16a</t>
    <phoneticPr fontId="1"/>
  </si>
  <si>
    <t>区分_16b</t>
    <phoneticPr fontId="1"/>
  </si>
  <si>
    <t>区分_17b</t>
  </si>
  <si>
    <t>区分_17a</t>
    <phoneticPr fontId="1"/>
  </si>
  <si>
    <t>区分_18</t>
    <phoneticPr fontId="1"/>
  </si>
  <si>
    <t>区分_19</t>
  </si>
  <si>
    <t>区分_20a</t>
    <phoneticPr fontId="1"/>
  </si>
  <si>
    <t>区分_20b</t>
    <phoneticPr fontId="1"/>
  </si>
  <si>
    <t>区分_21</t>
    <phoneticPr fontId="1"/>
  </si>
  <si>
    <t>PUSH対象区分</t>
  </si>
  <si>
    <t>PUSH対象区分_チェック</t>
    <rPh sb="4" eb="8">
      <t>タイショウクブン</t>
    </rPh>
    <phoneticPr fontId="1"/>
  </si>
  <si>
    <t>ご確認ご依頼事項</t>
    <phoneticPr fontId="1"/>
  </si>
  <si>
    <t>振分先コード</t>
  </si>
  <si>
    <t>企業名</t>
  </si>
  <si>
    <t>振分先名</t>
  </si>
  <si>
    <t>データ元ファイル名</t>
    <phoneticPr fontId="1"/>
  </si>
  <si>
    <t>ツールを格納しているフォルダ</t>
    <rPh sb="4" eb="6">
      <t>カクノウ</t>
    </rPh>
    <phoneticPr fontId="1"/>
  </si>
  <si>
    <t>CL向け案件アラート表一覧を選択してください</t>
  </si>
  <si>
    <t>ファイルが選択されませんでした。</t>
  </si>
  <si>
    <t>対応していないファイル形式です</t>
  </si>
  <si>
    <t>{ファイル名}の作成が完了しました。正誤判定{結果}</t>
    <rPh sb="5" eb="6">
      <t>メイ</t>
    </rPh>
    <rPh sb="23" eb="25">
      <t>ケッカ</t>
    </rPh>
    <phoneticPr fontId="1"/>
  </si>
  <si>
    <t>インプットファイル選択時</t>
    <rPh sb="9" eb="11">
      <t>センタク</t>
    </rPh>
    <rPh sb="11" eb="12">
      <t>ジ</t>
    </rPh>
    <phoneticPr fontId="1"/>
  </si>
  <si>
    <t>処理完了時</t>
    <rPh sb="0" eb="5">
      <t>ショリカンリョウジ</t>
    </rPh>
    <phoneticPr fontId="1"/>
  </si>
  <si>
    <t>インプットファイル選択ダイアログの「キャンセル」ボタン押下時</t>
    <rPh sb="9" eb="11">
      <t>センタク</t>
    </rPh>
    <rPh sb="27" eb="30">
      <t>オウカジ</t>
    </rPh>
    <phoneticPr fontId="1"/>
  </si>
  <si>
    <t>選択したファイルの形式がcsv、Excel以外のとき</t>
    <rPh sb="0" eb="2">
      <t>センタク</t>
    </rPh>
    <rPh sb="9" eb="11">
      <t>ケイシキ</t>
    </rPh>
    <rPh sb="21" eb="23">
      <t>イガイ</t>
    </rPh>
    <phoneticPr fontId="1"/>
  </si>
  <si>
    <t>「案件アラートチェック.exe」を開く</t>
  </si>
  <si>
    <t>以下のメッセージが表示されたらOK</t>
    <rPh sb="0" eb="2">
      <t>イカ</t>
    </rPh>
    <rPh sb="9" eb="11">
      <t>ヒョウジ</t>
    </rPh>
    <phoneticPr fontId="1"/>
  </si>
  <si>
    <t>１．結果出力</t>
    <rPh sb="2" eb="6">
      <t>ケッカシュツリョク</t>
    </rPh>
    <phoneticPr fontId="1"/>
  </si>
  <si>
    <t>結果をExcelファイルとして出力する。</t>
    <rPh sb="0" eb="2">
      <t>ケッカ</t>
    </rPh>
    <rPh sb="15" eb="17">
      <t>シュツリョク</t>
    </rPh>
    <phoneticPr fontId="1"/>
  </si>
  <si>
    <t>kintone側でチェックした内容を再度取込、各条件に該当しているかチェックを行う。</t>
    <rPh sb="7" eb="8">
      <t>ガワ</t>
    </rPh>
    <rPh sb="15" eb="17">
      <t>ナイヨウ</t>
    </rPh>
    <rPh sb="18" eb="20">
      <t>サイド</t>
    </rPh>
    <rPh sb="20" eb="22">
      <t>トリコミ</t>
    </rPh>
    <rPh sb="23" eb="26">
      <t>カクジョウケン</t>
    </rPh>
    <rPh sb="27" eb="29">
      <t>ガイトウ</t>
    </rPh>
    <rPh sb="39" eb="40">
      <t>オコナ</t>
    </rPh>
    <phoneticPr fontId="1"/>
  </si>
  <si>
    <t>セキュアVDI（Win11）</t>
    <phoneticPr fontId="1"/>
  </si>
  <si>
    <t>-</t>
    <phoneticPr fontId="1"/>
  </si>
  <si>
    <t>.csv</t>
    <phoneticPr fontId="1"/>
  </si>
  <si>
    <t>Visual Studio Code</t>
    <phoneticPr fontId="1"/>
  </si>
  <si>
    <t>案件アラートチェック.exe</t>
    <phoneticPr fontId="1"/>
  </si>
  <si>
    <t>出力されたファイル結果の確認を行う</t>
    <rPh sb="0" eb="2">
      <t>シュツリョク</t>
    </rPh>
    <rPh sb="9" eb="11">
      <t>ケッカ</t>
    </rPh>
    <rPh sb="12" eb="14">
      <t>カクニン</t>
    </rPh>
    <rPh sb="15" eb="16">
      <t>オコナ</t>
    </rPh>
    <phoneticPr fontId="1"/>
  </si>
  <si>
    <t>インプットファイルの列をすべて出力</t>
    <rPh sb="10" eb="11">
      <t>レツ</t>
    </rPh>
    <rPh sb="15" eb="17">
      <t>シュツリョク</t>
    </rPh>
    <phoneticPr fontId="1"/>
  </si>
  <si>
    <t>小野寺／髙橋</t>
    <rPh sb="0" eb="3">
      <t>オノデラ</t>
    </rPh>
    <rPh sb="4" eb="6">
      <t>タカハシ</t>
    </rPh>
    <phoneticPr fontId="1"/>
  </si>
  <si>
    <t>1.0.0</t>
    <phoneticPr fontId="1"/>
  </si>
  <si>
    <t>全シート</t>
    <rPh sb="0" eb="1">
      <t>ゼン</t>
    </rPh>
    <phoneticPr fontId="1"/>
  </si>
  <si>
    <t>新規作成</t>
    <rPh sb="0" eb="4">
      <t>シンキサクセイ</t>
    </rPh>
    <phoneticPr fontId="1"/>
  </si>
  <si>
    <t>kintoneの反響管理アプリから「案件アラートチェック対象リスト」のデータを出力する</t>
    <rPh sb="8" eb="12">
      <t>ハンキョウカンリ</t>
    </rPh>
    <rPh sb="18" eb="20">
      <t>アンケン</t>
    </rPh>
    <rPh sb="28" eb="30">
      <t>タイショウ</t>
    </rPh>
    <rPh sb="39" eb="41">
      <t>シュツリョク</t>
    </rPh>
    <phoneticPr fontId="1"/>
  </si>
  <si>
    <t>「CL向け案件アラート表一覧を選択してください」というダイアログが表示されたら、1で出力したcsvファイルを選択する</t>
    <rPh sb="3" eb="4">
      <t>ム</t>
    </rPh>
    <rPh sb="5" eb="7">
      <t>アンケン</t>
    </rPh>
    <rPh sb="11" eb="12">
      <t>ヒョウ</t>
    </rPh>
    <rPh sb="12" eb="14">
      <t>イチラン</t>
    </rPh>
    <rPh sb="15" eb="17">
      <t>センタク</t>
    </rPh>
    <rPh sb="33" eb="35">
      <t>ヒョウジ</t>
    </rPh>
    <rPh sb="42" eb="44">
      <t>シュツリョク</t>
    </rPh>
    <rPh sb="54" eb="56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</si>
</sst>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メイリオ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MS UI Gothic"/>
      <family val="3"/>
      <charset val="128"/>
    </font>
    <font>
      <sz val="11"/>
      <name val="メイリオ"/>
      <family val="3"/>
      <charset val="128"/>
    </font>
    <font>
      <u/>
      <sz val="11"/>
      <color theme="10"/>
      <name val="明朝"/>
      <family val="1"/>
      <charset val="128"/>
    </font>
    <font>
      <sz val="9"/>
      <color rgb="FFFF0000"/>
      <name val="Meiryo UI"/>
      <family val="3"/>
      <charset val="128"/>
    </font>
    <font>
      <b/>
      <sz val="9"/>
      <color theme="0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sz val="24"/>
      <name val="メイリオ"/>
      <family val="3"/>
      <charset val="128"/>
    </font>
    <font>
      <u/>
      <sz val="9"/>
      <color theme="10"/>
      <name val="メイリオ"/>
      <family val="3"/>
      <charset val="128"/>
    </font>
    <font>
      <b/>
      <sz val="18"/>
      <color theme="0"/>
      <name val="メイリオ"/>
      <family val="3"/>
      <charset val="128"/>
    </font>
    <font>
      <b/>
      <sz val="12"/>
      <name val="メイリオ"/>
      <family val="3"/>
      <charset val="128"/>
    </font>
    <font>
      <b/>
      <sz val="9"/>
      <name val="メイリオ"/>
      <family val="3"/>
      <charset val="128"/>
    </font>
    <font>
      <sz val="9"/>
      <color theme="0"/>
      <name val="メイリオ"/>
      <family val="3"/>
      <charset val="128"/>
    </font>
    <font>
      <sz val="8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9"/>
      <color rgb="FF032F62"/>
      <name val="Meiryo UI"/>
      <family val="3"/>
      <charset val="128"/>
    </font>
    <font>
      <sz val="9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1"/>
      <color rgb="FFC00000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/>
      <top/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0" fontId="2" fillId="0" borderId="0"/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/>
    <xf numFmtId="0" fontId="21" fillId="0" borderId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86">
    <xf numFmtId="0" fontId="0" fillId="0" borderId="0" xfId="0"/>
    <xf numFmtId="0" fontId="3" fillId="0" borderId="0" xfId="1" applyFont="1" applyAlignment="1">
      <alignment horizontal="left" vertical="center"/>
    </xf>
    <xf numFmtId="0" fontId="3" fillId="0" borderId="0" xfId="0" applyFont="1"/>
    <xf numFmtId="0" fontId="15" fillId="0" borderId="0" xfId="1" applyFont="1" applyAlignment="1">
      <alignment horizontal="left" vertical="center"/>
    </xf>
    <xf numFmtId="0" fontId="7" fillId="0" borderId="0" xfId="0" applyFont="1"/>
    <xf numFmtId="0" fontId="16" fillId="0" borderId="0" xfId="1" applyFont="1" applyAlignment="1">
      <alignment horizontal="left" vertical="center"/>
    </xf>
    <xf numFmtId="0" fontId="15" fillId="0" borderId="0" xfId="0" applyFont="1"/>
    <xf numFmtId="0" fontId="17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0" fontId="3" fillId="5" borderId="0" xfId="0" applyFont="1" applyFill="1"/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3" fillId="4" borderId="15" xfId="1" applyFont="1" applyFill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4" borderId="8" xfId="1" applyFont="1" applyFill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0" fontId="3" fillId="4" borderId="11" xfId="1" applyFont="1" applyFill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0" xfId="1" applyFont="1" applyFill="1" applyAlignment="1">
      <alignment vertical="center"/>
    </xf>
    <xf numFmtId="0" fontId="3" fillId="4" borderId="13" xfId="1" applyFont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4" borderId="17" xfId="1" applyFont="1" applyFill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18" fillId="5" borderId="0" xfId="0" applyFont="1" applyFill="1" applyAlignment="1">
      <alignment horizontal="center"/>
    </xf>
    <xf numFmtId="0" fontId="15" fillId="8" borderId="0" xfId="1" applyFont="1" applyFill="1" applyAlignment="1">
      <alignment horizontal="left" vertical="center"/>
    </xf>
    <xf numFmtId="0" fontId="3" fillId="8" borderId="0" xfId="1" applyFont="1" applyFill="1" applyAlignment="1">
      <alignment horizontal="left" vertical="center"/>
    </xf>
    <xf numFmtId="0" fontId="3" fillId="8" borderId="0" xfId="1" applyFont="1" applyFill="1" applyAlignment="1">
      <alignment vertical="center"/>
    </xf>
    <xf numFmtId="0" fontId="7" fillId="8" borderId="0" xfId="0" applyFont="1" applyFill="1"/>
    <xf numFmtId="0" fontId="16" fillId="8" borderId="0" xfId="1" applyFont="1" applyFill="1" applyAlignment="1">
      <alignment horizontal="left" vertical="center"/>
    </xf>
    <xf numFmtId="0" fontId="17" fillId="8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/>
    </xf>
    <xf numFmtId="0" fontId="13" fillId="5" borderId="0" xfId="8" applyFont="1" applyFill="1" applyAlignment="1">
      <alignment horizontal="left"/>
    </xf>
    <xf numFmtId="0" fontId="14" fillId="2" borderId="2" xfId="1" applyFont="1" applyFill="1" applyBorder="1" applyAlignment="1">
      <alignment vertical="center"/>
    </xf>
    <xf numFmtId="49" fontId="3" fillId="0" borderId="4" xfId="0" applyNumberFormat="1" applyFont="1" applyBorder="1" applyAlignment="1">
      <alignment horizontal="left"/>
    </xf>
    <xf numFmtId="49" fontId="3" fillId="4" borderId="4" xfId="0" applyNumberFormat="1" applyFont="1" applyFill="1" applyBorder="1" applyAlignment="1">
      <alignment horizontal="left" vertical="center"/>
    </xf>
    <xf numFmtId="0" fontId="22" fillId="0" borderId="0" xfId="9" applyFont="1">
      <alignment vertical="center"/>
    </xf>
    <xf numFmtId="0" fontId="21" fillId="0" borderId="0" xfId="9">
      <alignment vertical="center"/>
    </xf>
    <xf numFmtId="0" fontId="21" fillId="8" borderId="0" xfId="9" applyFill="1">
      <alignment vertical="center"/>
    </xf>
    <xf numFmtId="0" fontId="22" fillId="8" borderId="0" xfId="9" applyFont="1" applyFill="1">
      <alignment vertical="center"/>
    </xf>
    <xf numFmtId="0" fontId="25" fillId="8" borderId="0" xfId="9" applyFont="1" applyFill="1">
      <alignment vertical="center"/>
    </xf>
    <xf numFmtId="0" fontId="15" fillId="0" borderId="0" xfId="1" applyFont="1" applyAlignment="1">
      <alignment horizontal="left" vertical="top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27" fillId="0" borderId="0" xfId="1" applyFont="1" applyAlignment="1">
      <alignment horizontal="left" vertical="center"/>
    </xf>
    <xf numFmtId="0" fontId="3" fillId="4" borderId="26" xfId="1" applyFont="1" applyFill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27" xfId="1" applyFont="1" applyBorder="1" applyAlignment="1">
      <alignment vertical="center"/>
    </xf>
    <xf numFmtId="0" fontId="3" fillId="0" borderId="28" xfId="1" applyFont="1" applyBorder="1" applyAlignment="1">
      <alignment vertical="center"/>
    </xf>
    <xf numFmtId="0" fontId="3" fillId="0" borderId="29" xfId="1" applyFont="1" applyBorder="1" applyAlignment="1">
      <alignment vertical="center"/>
    </xf>
    <xf numFmtId="0" fontId="3" fillId="4" borderId="30" xfId="1" applyFont="1" applyFill="1" applyBorder="1" applyAlignment="1">
      <alignment vertical="center"/>
    </xf>
    <xf numFmtId="0" fontId="3" fillId="4" borderId="31" xfId="1" applyFont="1" applyFill="1" applyBorder="1" applyAlignment="1">
      <alignment vertical="center"/>
    </xf>
    <xf numFmtId="0" fontId="3" fillId="4" borderId="32" xfId="1" applyFont="1" applyFill="1" applyBorder="1" applyAlignment="1">
      <alignment vertical="center"/>
    </xf>
    <xf numFmtId="0" fontId="3" fillId="0" borderId="6" xfId="1" applyFont="1" applyBorder="1" applyAlignment="1">
      <alignment horizontal="left" vertical="center"/>
    </xf>
    <xf numFmtId="0" fontId="26" fillId="0" borderId="6" xfId="1" applyFont="1" applyBorder="1" applyAlignment="1">
      <alignment horizontal="left" vertical="center"/>
    </xf>
    <xf numFmtId="0" fontId="16" fillId="0" borderId="6" xfId="1" applyFont="1" applyBorder="1" applyAlignment="1">
      <alignment vertical="center"/>
    </xf>
    <xf numFmtId="0" fontId="16" fillId="0" borderId="24" xfId="1" applyFont="1" applyBorder="1" applyAlignment="1">
      <alignment vertical="center"/>
    </xf>
    <xf numFmtId="0" fontId="3" fillId="4" borderId="33" xfId="1" applyFont="1" applyFill="1" applyBorder="1" applyAlignment="1">
      <alignment vertical="center"/>
    </xf>
    <xf numFmtId="0" fontId="16" fillId="0" borderId="7" xfId="1" applyFont="1" applyBorder="1" applyAlignment="1">
      <alignment vertical="center"/>
    </xf>
    <xf numFmtId="0" fontId="16" fillId="0" borderId="25" xfId="1" applyFont="1" applyBorder="1" applyAlignment="1">
      <alignment vertical="center"/>
    </xf>
    <xf numFmtId="0" fontId="3" fillId="0" borderId="34" xfId="1" applyFont="1" applyBorder="1" applyAlignment="1">
      <alignment vertical="center"/>
    </xf>
    <xf numFmtId="0" fontId="16" fillId="0" borderId="9" xfId="1" applyFont="1" applyBorder="1" applyAlignment="1">
      <alignment vertical="center"/>
    </xf>
    <xf numFmtId="0" fontId="16" fillId="0" borderId="11" xfId="1" applyFont="1" applyBorder="1" applyAlignment="1">
      <alignment vertical="center"/>
    </xf>
    <xf numFmtId="0" fontId="3" fillId="0" borderId="35" xfId="1" applyFont="1" applyBorder="1" applyAlignment="1">
      <alignment vertical="center"/>
    </xf>
    <xf numFmtId="0" fontId="3" fillId="0" borderId="36" xfId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26" fillId="0" borderId="18" xfId="1" applyFont="1" applyBorder="1" applyAlignment="1">
      <alignment vertical="center"/>
    </xf>
    <xf numFmtId="0" fontId="3" fillId="0" borderId="8" xfId="0" applyFont="1" applyBorder="1"/>
    <xf numFmtId="0" fontId="3" fillId="0" borderId="25" xfId="1" applyFont="1" applyBorder="1" applyAlignment="1">
      <alignment vertical="center"/>
    </xf>
    <xf numFmtId="0" fontId="13" fillId="5" borderId="0" xfId="8" applyFont="1" applyFill="1"/>
    <xf numFmtId="0" fontId="26" fillId="0" borderId="0" xfId="1" applyFont="1" applyAlignment="1">
      <alignment horizontal="left" vertical="center"/>
    </xf>
    <xf numFmtId="0" fontId="3" fillId="0" borderId="5" xfId="0" applyFont="1" applyBorder="1"/>
    <xf numFmtId="0" fontId="3" fillId="0" borderId="7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0" fontId="16" fillId="0" borderId="7" xfId="1" applyFont="1" applyBorder="1" applyAlignment="1">
      <alignment horizontal="left" vertical="center"/>
    </xf>
    <xf numFmtId="0" fontId="3" fillId="4" borderId="5" xfId="1" applyFont="1" applyFill="1" applyBorder="1" applyAlignment="1">
      <alignment horizontal="left" vertical="top"/>
    </xf>
    <xf numFmtId="0" fontId="3" fillId="4" borderId="6" xfId="1" applyFont="1" applyFill="1" applyBorder="1" applyAlignment="1">
      <alignment horizontal="left" vertical="top"/>
    </xf>
    <xf numFmtId="0" fontId="3" fillId="4" borderId="7" xfId="1" applyFont="1" applyFill="1" applyBorder="1" applyAlignment="1">
      <alignment horizontal="left" vertical="top"/>
    </xf>
    <xf numFmtId="0" fontId="3" fillId="4" borderId="5" xfId="1" applyFont="1" applyFill="1" applyBorder="1" applyAlignment="1">
      <alignment vertical="top"/>
    </xf>
    <xf numFmtId="0" fontId="3" fillId="4" borderId="6" xfId="1" applyFont="1" applyFill="1" applyBorder="1" applyAlignment="1">
      <alignment vertical="top"/>
    </xf>
    <xf numFmtId="0" fontId="3" fillId="0" borderId="0" xfId="1" applyFont="1" applyAlignment="1">
      <alignment horizontal="left" vertical="top"/>
    </xf>
    <xf numFmtId="0" fontId="3" fillId="0" borderId="5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3" fillId="0" borderId="7" xfId="1" applyFont="1" applyBorder="1" applyAlignment="1">
      <alignment vertical="top"/>
    </xf>
    <xf numFmtId="0" fontId="3" fillId="0" borderId="6" xfId="1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1" applyFont="1" applyAlignment="1">
      <alignment vertical="top"/>
    </xf>
    <xf numFmtId="0" fontId="14" fillId="0" borderId="2" xfId="1" applyFont="1" applyBorder="1" applyAlignment="1">
      <alignment horizontal="left" vertical="center"/>
    </xf>
    <xf numFmtId="17" fontId="3" fillId="0" borderId="5" xfId="1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10" fillId="2" borderId="5" xfId="0" applyNumberFormat="1" applyFont="1" applyFill="1" applyBorder="1"/>
    <xf numFmtId="49" fontId="10" fillId="2" borderId="6" xfId="0" applyNumberFormat="1" applyFont="1" applyFill="1" applyBorder="1"/>
    <xf numFmtId="49" fontId="10" fillId="2" borderId="7" xfId="0" applyNumberFormat="1" applyFont="1" applyFill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7" fillId="3" borderId="0" xfId="1" applyFont="1" applyFill="1" applyAlignment="1">
      <alignment vertical="center"/>
    </xf>
    <xf numFmtId="0" fontId="12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4" fillId="2" borderId="0" xfId="1" applyFont="1" applyFill="1" applyAlignment="1">
      <alignment vertical="center"/>
    </xf>
    <xf numFmtId="0" fontId="14" fillId="2" borderId="0" xfId="1" applyFont="1" applyFill="1" applyAlignment="1">
      <alignment horizontal="left" vertical="center"/>
    </xf>
    <xf numFmtId="0" fontId="3" fillId="4" borderId="5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14" fillId="2" borderId="3" xfId="1" applyFont="1" applyFill="1" applyBorder="1" applyAlignment="1">
      <alignment horizontal="left" vertical="center"/>
    </xf>
    <xf numFmtId="0" fontId="3" fillId="0" borderId="5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/>
    </xf>
    <xf numFmtId="0" fontId="14" fillId="2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vertical="top"/>
    </xf>
    <xf numFmtId="0" fontId="3" fillId="4" borderId="6" xfId="1" applyFont="1" applyFill="1" applyBorder="1" applyAlignment="1">
      <alignment vertical="top"/>
    </xf>
    <xf numFmtId="0" fontId="3" fillId="4" borderId="7" xfId="1" applyFont="1" applyFill="1" applyBorder="1" applyAlignment="1">
      <alignment vertical="top"/>
    </xf>
    <xf numFmtId="0" fontId="3" fillId="7" borderId="5" xfId="1" applyFont="1" applyFill="1" applyBorder="1" applyAlignment="1">
      <alignment vertical="top"/>
    </xf>
    <xf numFmtId="0" fontId="3" fillId="7" borderId="6" xfId="1" applyFont="1" applyFill="1" applyBorder="1" applyAlignment="1">
      <alignment vertical="top"/>
    </xf>
    <xf numFmtId="0" fontId="3" fillId="7" borderId="7" xfId="1" applyFont="1" applyFill="1" applyBorder="1" applyAlignment="1">
      <alignment vertical="top"/>
    </xf>
    <xf numFmtId="0" fontId="3" fillId="0" borderId="4" xfId="1" applyFont="1" applyBorder="1" applyAlignment="1">
      <alignment horizontal="left" vertical="top"/>
    </xf>
    <xf numFmtId="0" fontId="3" fillId="6" borderId="5" xfId="1" applyFont="1" applyFill="1" applyBorder="1" applyAlignment="1">
      <alignment vertical="top"/>
    </xf>
    <xf numFmtId="0" fontId="3" fillId="6" borderId="6" xfId="1" applyFont="1" applyFill="1" applyBorder="1" applyAlignment="1">
      <alignment vertical="top"/>
    </xf>
    <xf numFmtId="0" fontId="3" fillId="6" borderId="7" xfId="1" applyFont="1" applyFill="1" applyBorder="1" applyAlignment="1">
      <alignment vertical="top"/>
    </xf>
    <xf numFmtId="0" fontId="16" fillId="0" borderId="5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6" borderId="4" xfId="1" applyFont="1" applyFill="1" applyBorder="1" applyAlignment="1">
      <alignment horizontal="left" vertical="top"/>
    </xf>
    <xf numFmtId="0" fontId="3" fillId="6" borderId="5" xfId="1" applyFont="1" applyFill="1" applyBorder="1" applyAlignment="1">
      <alignment horizontal="left" vertical="top"/>
    </xf>
    <xf numFmtId="0" fontId="3" fillId="6" borderId="6" xfId="1" applyFont="1" applyFill="1" applyBorder="1" applyAlignment="1">
      <alignment horizontal="left" vertical="top"/>
    </xf>
    <xf numFmtId="0" fontId="3" fillId="6" borderId="7" xfId="1" applyFont="1" applyFill="1" applyBorder="1" applyAlignment="1">
      <alignment horizontal="left" vertical="top"/>
    </xf>
    <xf numFmtId="0" fontId="3" fillId="4" borderId="4" xfId="1" applyFont="1" applyFill="1" applyBorder="1" applyAlignment="1">
      <alignment horizontal="left" vertical="top"/>
    </xf>
    <xf numFmtId="0" fontId="3" fillId="4" borderId="5" xfId="1" applyFont="1" applyFill="1" applyBorder="1" applyAlignment="1">
      <alignment horizontal="left" vertical="top"/>
    </xf>
    <xf numFmtId="0" fontId="3" fillId="4" borderId="6" xfId="1" applyFont="1" applyFill="1" applyBorder="1" applyAlignment="1">
      <alignment horizontal="left" vertical="top"/>
    </xf>
    <xf numFmtId="0" fontId="3" fillId="4" borderId="7" xfId="1" applyFont="1" applyFill="1" applyBorder="1" applyAlignment="1">
      <alignment horizontal="left" vertical="top"/>
    </xf>
    <xf numFmtId="0" fontId="3" fillId="7" borderId="4" xfId="1" applyFont="1" applyFill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37" xfId="1" applyFont="1" applyBorder="1" applyAlignment="1">
      <alignment vertical="top"/>
    </xf>
    <xf numFmtId="0" fontId="3" fillId="7" borderId="8" xfId="1" applyFont="1" applyFill="1" applyBorder="1" applyAlignment="1">
      <alignment horizontal="left" vertical="top"/>
    </xf>
    <xf numFmtId="0" fontId="3" fillId="7" borderId="9" xfId="1" applyFont="1" applyFill="1" applyBorder="1" applyAlignment="1">
      <alignment horizontal="left" vertical="top"/>
    </xf>
    <xf numFmtId="0" fontId="3" fillId="7" borderId="11" xfId="1" applyFont="1" applyFill="1" applyBorder="1" applyAlignment="1">
      <alignment horizontal="left" vertical="top"/>
    </xf>
    <xf numFmtId="0" fontId="3" fillId="7" borderId="4" xfId="1" applyFont="1" applyFill="1" applyBorder="1" applyAlignment="1">
      <alignment horizontal="left" vertical="top"/>
    </xf>
    <xf numFmtId="0" fontId="3" fillId="4" borderId="4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vertical="center"/>
    </xf>
    <xf numFmtId="0" fontId="3" fillId="4" borderId="8" xfId="1" applyFont="1" applyFill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0" xfId="1" applyFont="1" applyFill="1" applyAlignment="1">
      <alignment vertical="center"/>
    </xf>
    <xf numFmtId="0" fontId="14" fillId="2" borderId="1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/>
    </xf>
    <xf numFmtId="49" fontId="3" fillId="0" borderId="4" xfId="0" applyNumberFormat="1" applyFont="1" applyBorder="1" applyAlignment="1">
      <alignment horizontal="left" vertical="top"/>
    </xf>
    <xf numFmtId="0" fontId="3" fillId="8" borderId="0" xfId="1" applyFont="1" applyFill="1" applyAlignment="1">
      <alignment horizontal="left" vertical="center"/>
    </xf>
    <xf numFmtId="0" fontId="3" fillId="8" borderId="0" xfId="1" applyFont="1" applyFill="1" applyAlignment="1">
      <alignment vertical="center"/>
    </xf>
  </cellXfs>
  <cellStyles count="11">
    <cellStyle name="パーセント 2" xfId="4" xr:uid="{00000000-0005-0000-0000-000000000000}"/>
    <cellStyle name="ハイパーリンク" xfId="8" builtinId="8"/>
    <cellStyle name="ハイパーリンク 2" xfId="10" xr:uid="{0C8DF166-FC64-47FA-8734-BD1D4425125E}"/>
    <cellStyle name="桁区切り 2" xfId="6" xr:uid="{00000000-0005-0000-0000-000002000000}"/>
    <cellStyle name="標準" xfId="0" builtinId="0"/>
    <cellStyle name="標準 2" xfId="2" xr:uid="{00000000-0005-0000-0000-000005000000}"/>
    <cellStyle name="標準 3" xfId="3" xr:uid="{00000000-0005-0000-0000-000006000000}"/>
    <cellStyle name="標準 3 2" xfId="7" xr:uid="{00000000-0005-0000-0000-000007000000}"/>
    <cellStyle name="標準 4" xfId="9" xr:uid="{255D6EFD-43D4-43AF-A2AA-E82115E60EBE}"/>
    <cellStyle name="標準 6" xfId="5" xr:uid="{00000000-0005-0000-0000-000008000000}"/>
    <cellStyle name="標準_生産計画ED書" xfId="1" xr:uid="{00000000-0005-0000-0000-00000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5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85221</xdr:rowOff>
    </xdr:from>
    <xdr:to>
      <xdr:col>13</xdr:col>
      <xdr:colOff>171450</xdr:colOff>
      <xdr:row>11</xdr:row>
      <xdr:rowOff>85221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399671"/>
          <a:ext cx="2076450" cy="9525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15</xdr:col>
      <xdr:colOff>136991</xdr:colOff>
      <xdr:row>8</xdr:row>
      <xdr:rowOff>30245</xdr:rowOff>
    </xdr:from>
    <xdr:to>
      <xdr:col>19</xdr:col>
      <xdr:colOff>149189</xdr:colOff>
      <xdr:row>12</xdr:row>
      <xdr:rowOff>42443</xdr:rowOff>
    </xdr:to>
    <xdr:pic>
      <xdr:nvPicPr>
        <xdr:cNvPr id="3" name="Picture 2" descr="PowerPointでよく見かける人の画像を一括検索する方法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1616" y="1725695"/>
          <a:ext cx="774198" cy="77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132817</xdr:colOff>
      <xdr:row>8</xdr:row>
      <xdr:rowOff>30245</xdr:rowOff>
    </xdr:from>
    <xdr:to>
      <xdr:col>24</xdr:col>
      <xdr:colOff>169265</xdr:colOff>
      <xdr:row>12</xdr:row>
      <xdr:rowOff>156766</xdr:rowOff>
    </xdr:to>
    <xdr:pic>
      <xdr:nvPicPr>
        <xdr:cNvPr id="4" name="Picture 4" descr="https://azriton.github.io/assets/misc/pptman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50" t="34576" r="61656" b="10058"/>
        <a:stretch/>
      </xdr:blipFill>
      <xdr:spPr bwMode="auto">
        <a:xfrm>
          <a:off x="3933292" y="1725695"/>
          <a:ext cx="607948" cy="888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123825</xdr:colOff>
      <xdr:row>13</xdr:row>
      <xdr:rowOff>0</xdr:rowOff>
    </xdr:from>
    <xdr:to>
      <xdr:col>41</xdr:col>
      <xdr:colOff>47625</xdr:colOff>
      <xdr:row>17</xdr:row>
      <xdr:rowOff>133350</xdr:rowOff>
    </xdr:to>
    <xdr:sp macro="" textlink="">
      <xdr:nvSpPr>
        <xdr:cNvPr id="6" name="雲形吹き出し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485775" y="2647950"/>
          <a:ext cx="6981825" cy="895350"/>
        </a:xfrm>
        <a:prstGeom prst="cloudCallout">
          <a:avLst>
            <a:gd name="adj1" fmla="val 48698"/>
            <a:gd name="adj2" fmla="val 16197"/>
          </a:avLst>
        </a:prstGeom>
        <a:noFill/>
        <a:ln w="9525" cap="flat" cmpd="sng" algn="ctr">
          <a:solidFill>
            <a:schemeClr val="bg2">
              <a:lumMod val="90000"/>
            </a:schemeClr>
          </a:solidFill>
          <a:prstDash val="solid"/>
          <a:round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rtl="0" fontAlgn="base"/>
          <a:r>
            <a:rPr kumimoji="1" lang="ja-JP" altLang="ja-JP" sz="1050" kern="12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　流用新規で</a:t>
          </a:r>
          <a:r>
            <a:rPr kumimoji="1" lang="en-US" altLang="ja-JP" sz="1050" kern="12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G</a:t>
          </a:r>
          <a:r>
            <a:rPr kumimoji="1" lang="ja-JP" altLang="ja-JP" sz="1050" kern="12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毎に作成した場合、シンプルな形で各業務にフィット可能だが、</a:t>
          </a:r>
          <a:r>
            <a:rPr kumimoji="1" lang="en-US" altLang="ja-JP" sz="1050" kern="12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MTC</a:t>
          </a:r>
          <a:r>
            <a:rPr kumimoji="1" lang="ja-JP" altLang="ja-JP" sz="1050" kern="12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側でのロジック管理が煩雑となってしまう懸念がある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29</xdr:col>
      <xdr:colOff>66675</xdr:colOff>
      <xdr:row>6</xdr:row>
      <xdr:rowOff>55245</xdr:rowOff>
    </xdr:from>
    <xdr:to>
      <xdr:col>41</xdr:col>
      <xdr:colOff>19050</xdr:colOff>
      <xdr:row>12</xdr:row>
      <xdr:rowOff>1905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7DA5E0B7-CF4C-04BE-EAB7-366D1E147167}"/>
            </a:ext>
          </a:extLst>
        </xdr:cNvPr>
        <xdr:cNvSpPr/>
      </xdr:nvSpPr>
      <xdr:spPr>
        <a:xfrm>
          <a:off x="5591175" y="1369695"/>
          <a:ext cx="2238375" cy="1089660"/>
        </a:xfrm>
        <a:prstGeom prst="wedgeRectCallout">
          <a:avLst>
            <a:gd name="adj1" fmla="val -76661"/>
            <a:gd name="adj2" fmla="val 24038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 fontAlgn="base"/>
          <a:r>
            <a:rPr kumimoji="1" lang="ja-JP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なにそれ、めっちゃええやん。</a:t>
          </a:r>
          <a:endParaRPr lang="ja-JP" altLang="ja-JP" sz="1000">
            <a:solidFill>
              <a:sysClr val="windowText" lastClr="000000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rtl="0" fontAlgn="base"/>
          <a:r>
            <a:rPr kumimoji="1" lang="ja-JP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うちの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G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の業務でも使いたいわ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。</a:t>
          </a:r>
          <a:endParaRPr lang="ja-JP" altLang="ja-JP" sz="1000">
            <a:solidFill>
              <a:sysClr val="windowText" lastClr="000000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rtl="0" fontAlgn="base"/>
          <a:r>
            <a:rPr kumimoji="1" lang="ja-JP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でもちょっとだけ条件ちがうのよね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。</a:t>
          </a:r>
          <a:endParaRPr lang="ja-JP" altLang="ja-JP" sz="1000">
            <a:solidFill>
              <a:sysClr val="windowText" lastClr="000000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rtl="0" fontAlgn="base"/>
          <a:r>
            <a:rPr kumimoji="1" lang="ja-JP" altLang="ja-JP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カスタムしたいわ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。</a:t>
          </a:r>
          <a:endParaRPr lang="ja-JP" altLang="ja-JP" sz="1000">
            <a:solidFill>
              <a:sysClr val="windowText" lastClr="000000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123825</xdr:colOff>
      <xdr:row>4</xdr:row>
      <xdr:rowOff>161926</xdr:rowOff>
    </xdr:from>
    <xdr:to>
      <xdr:col>47</xdr:col>
      <xdr:colOff>114300</xdr:colOff>
      <xdr:row>8</xdr:row>
      <xdr:rowOff>180975</xdr:rowOff>
    </xdr:to>
    <xdr:sp macro="" textlink="">
      <xdr:nvSpPr>
        <xdr:cNvPr id="38" name="線吹き出し 1 (枠付き) 30">
          <a:extLst>
            <a:ext uri="{FF2B5EF4-FFF2-40B4-BE49-F238E27FC236}">
              <a16:creationId xmlns:a16="http://schemas.microsoft.com/office/drawing/2014/main" id="{D89A4517-54D0-4B63-A99E-DAA3B1F895BB}"/>
            </a:ext>
          </a:extLst>
        </xdr:cNvPr>
        <xdr:cNvSpPr>
          <a:spLocks/>
        </xdr:cNvSpPr>
      </xdr:nvSpPr>
      <xdr:spPr bwMode="auto">
        <a:xfrm>
          <a:off x="7277100" y="1152526"/>
          <a:ext cx="2085975" cy="781049"/>
        </a:xfrm>
        <a:prstGeom prst="borderCallout1">
          <a:avLst>
            <a:gd name="adj1" fmla="val 56967"/>
            <a:gd name="adj2" fmla="val -4578"/>
            <a:gd name="adj3" fmla="val 97679"/>
            <a:gd name="adj4" fmla="val -20793"/>
          </a:avLst>
        </a:prstGeom>
        <a:solidFill>
          <a:srgbClr val="F2F2F2"/>
        </a:solidFill>
        <a:ln w="12700">
          <a:solidFill>
            <a:srgbClr val="BFBFBF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１．取込データを加工する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２．条件ごとにチェックを行う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３．データを整形して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Excel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2</xdr:col>
      <xdr:colOff>19050</xdr:colOff>
      <xdr:row>5</xdr:row>
      <xdr:rowOff>95250</xdr:rowOff>
    </xdr:from>
    <xdr:to>
      <xdr:col>48</xdr:col>
      <xdr:colOff>85725</xdr:colOff>
      <xdr:row>16</xdr:row>
      <xdr:rowOff>180975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314CFE75-0866-C241-4EAD-0F77A21E7188}"/>
            </a:ext>
          </a:extLst>
        </xdr:cNvPr>
        <xdr:cNvGrpSpPr/>
      </xdr:nvGrpSpPr>
      <xdr:grpSpPr>
        <a:xfrm>
          <a:off x="400050" y="1276350"/>
          <a:ext cx="9124950" cy="2181225"/>
          <a:chOff x="285750" y="2200275"/>
          <a:chExt cx="9124950" cy="2181225"/>
        </a:xfrm>
      </xdr:grpSpPr>
      <xdr:grpSp>
        <xdr:nvGrpSpPr>
          <xdr:cNvPr id="23" name="グループ化 22">
            <a:extLst>
              <a:ext uri="{FF2B5EF4-FFF2-40B4-BE49-F238E27FC236}">
                <a16:creationId xmlns:a16="http://schemas.microsoft.com/office/drawing/2014/main" id="{57454553-CC56-8872-514C-613AEE4C1973}"/>
              </a:ext>
            </a:extLst>
          </xdr:cNvPr>
          <xdr:cNvGrpSpPr/>
        </xdr:nvGrpSpPr>
        <xdr:grpSpPr>
          <a:xfrm>
            <a:off x="285750" y="2200275"/>
            <a:ext cx="9124950" cy="2181225"/>
            <a:chOff x="419100" y="2162175"/>
            <a:chExt cx="9124950" cy="2181225"/>
          </a:xfrm>
        </xdr:grpSpPr>
        <xdr:sp macro="" textlink="">
          <xdr:nvSpPr>
            <xdr:cNvPr id="41" name="角丸四角形 18">
              <a:extLst>
                <a:ext uri="{FF2B5EF4-FFF2-40B4-BE49-F238E27FC236}">
                  <a16:creationId xmlns:a16="http://schemas.microsoft.com/office/drawing/2014/main" id="{8960DA2A-88BA-442F-871C-706E52332E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9100" y="2352676"/>
              <a:ext cx="2428875" cy="1962150"/>
            </a:xfrm>
            <a:prstGeom prst="roundRect">
              <a:avLst>
                <a:gd name="adj" fmla="val 2139"/>
              </a:avLst>
            </a:prstGeom>
            <a:solidFill>
              <a:sysClr val="window" lastClr="FFFFFF"/>
            </a:solidFill>
            <a:ln w="12700">
              <a:solidFill>
                <a:schemeClr val="accent6"/>
              </a:solidFill>
              <a:prstDash val="lgDash"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ctr" rtl="0">
                <a:defRPr sz="1000"/>
              </a:pPr>
              <a:endParaRPr lang="ja-JP" altLang="en-US" sz="1050" b="1" i="0" u="none" strike="noStrike" baseline="0">
                <a:solidFill>
                  <a:schemeClr val="accent1"/>
                </a:solidFill>
                <a:latin typeface="メイリオ"/>
                <a:ea typeface="メイリオ"/>
              </a:endParaRPr>
            </a:p>
          </xdr:txBody>
        </xdr:sp>
        <xdr:pic>
          <xdr:nvPicPr>
            <xdr:cNvPr id="15" name="図 14" descr="kintone">
              <a:extLst>
                <a:ext uri="{FF2B5EF4-FFF2-40B4-BE49-F238E27FC236}">
                  <a16:creationId xmlns:a16="http://schemas.microsoft.com/office/drawing/2014/main" id="{E1300156-EB56-B3A9-E104-01CC9564BE6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7246" b="32491"/>
            <a:stretch>
              <a:fillRect/>
            </a:stretch>
          </xdr:blipFill>
          <xdr:spPr bwMode="auto">
            <a:xfrm>
              <a:off x="952500" y="2466974"/>
              <a:ext cx="1219932" cy="28575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09F4A25D-0924-DDCE-C839-07BF48FD5BAF}"/>
                </a:ext>
              </a:extLst>
            </xdr:cNvPr>
            <xdr:cNvSpPr txBox="1"/>
          </xdr:nvSpPr>
          <xdr:spPr>
            <a:xfrm>
              <a:off x="590550" y="3076574"/>
              <a:ext cx="2152650" cy="6953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000">
                  <a:latin typeface="メイリオ" panose="020B0604030504040204" pitchFamily="50" charset="-128"/>
                  <a:ea typeface="メイリオ" panose="020B0604030504040204" pitchFamily="50" charset="-128"/>
                </a:rPr>
                <a:t>反響管理アプリから「案件アラートチェック対象リスト」のデータを出力する</a:t>
              </a:r>
            </a:p>
          </xdr:txBody>
        </xdr:sp>
        <xdr:pic>
          <xdr:nvPicPr>
            <xdr:cNvPr id="17" name="Picture 6" descr="Output">
              <a:extLst>
                <a:ext uri="{FF2B5EF4-FFF2-40B4-BE49-F238E27FC236}">
                  <a16:creationId xmlns:a16="http://schemas.microsoft.com/office/drawing/2014/main" id="{CE3B7100-97D1-4786-8BD8-5B140733245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90650" y="3705224"/>
              <a:ext cx="428625" cy="4000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" name="図 19" descr="CSVファイルのシルエット | 無料のAi・PNG白黒シルエットイラスト">
              <a:extLst>
                <a:ext uri="{FF2B5EF4-FFF2-40B4-BE49-F238E27FC236}">
                  <a16:creationId xmlns:a16="http://schemas.microsoft.com/office/drawing/2014/main" id="{55DBE7FE-19DB-5815-3BB6-6DF43A7B1B8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457575" y="3419475"/>
              <a:ext cx="571499" cy="57149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22" name="グループ化 21">
              <a:extLst>
                <a:ext uri="{FF2B5EF4-FFF2-40B4-BE49-F238E27FC236}">
                  <a16:creationId xmlns:a16="http://schemas.microsoft.com/office/drawing/2014/main" id="{8E836E08-D4B1-7FD1-469E-AFD729C99624}"/>
                </a:ext>
              </a:extLst>
            </xdr:cNvPr>
            <xdr:cNvGrpSpPr/>
          </xdr:nvGrpSpPr>
          <xdr:grpSpPr>
            <a:xfrm>
              <a:off x="5457826" y="2781301"/>
              <a:ext cx="997573" cy="1152657"/>
              <a:chOff x="6153151" y="4552951"/>
              <a:chExt cx="997573" cy="1152657"/>
            </a:xfrm>
          </xdr:grpSpPr>
          <xdr:grpSp>
            <xdr:nvGrpSpPr>
              <xdr:cNvPr id="4" name="グループ化 3">
                <a:extLst>
                  <a:ext uri="{FF2B5EF4-FFF2-40B4-BE49-F238E27FC236}">
                    <a16:creationId xmlns:a16="http://schemas.microsoft.com/office/drawing/2014/main" id="{7569E9E9-BB12-7036-8658-C1BC55A956A1}"/>
                  </a:ext>
                </a:extLst>
              </xdr:cNvPr>
              <xdr:cNvGrpSpPr/>
            </xdr:nvGrpSpPr>
            <xdr:grpSpPr>
              <a:xfrm>
                <a:off x="6153151" y="4648201"/>
                <a:ext cx="852970" cy="1057407"/>
                <a:chOff x="5934076" y="3752851"/>
                <a:chExt cx="852970" cy="1057407"/>
              </a:xfrm>
            </xdr:grpSpPr>
            <xdr:pic>
              <xdr:nvPicPr>
                <xdr:cNvPr id="13" name="図 12">
                  <a:extLst>
                    <a:ext uri="{FF2B5EF4-FFF2-40B4-BE49-F238E27FC236}">
                      <a16:creationId xmlns:a16="http://schemas.microsoft.com/office/drawing/2014/main" id="{689DACAD-8AEF-FC0C-417D-0576FD91C12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5934076" y="4429258"/>
                  <a:ext cx="406400" cy="381000"/>
                </a:xfrm>
                <a:prstGeom prst="rect">
                  <a:avLst/>
                </a:prstGeom>
              </xdr:spPr>
            </xdr:pic>
            <xdr:pic>
              <xdr:nvPicPr>
                <xdr:cNvPr id="5" name="図 4">
                  <a:extLst>
                    <a:ext uri="{FF2B5EF4-FFF2-40B4-BE49-F238E27FC236}">
                      <a16:creationId xmlns:a16="http://schemas.microsoft.com/office/drawing/2014/main" id="{49E28D43-2586-4609-89C0-5C19AD5A50B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048375" y="3752851"/>
                  <a:ext cx="738671" cy="704850"/>
                </a:xfrm>
                <a:prstGeom prst="rect">
                  <a:avLst/>
                </a:prstGeom>
              </xdr:spPr>
            </xdr:pic>
          </xdr:grpSp>
          <xdr:pic>
            <xdr:nvPicPr>
              <xdr:cNvPr id="21" name="図 20" descr="Python プログラミング Step1』 開発者インタビュー | BizLearn［ビズラーン］オンライン通信講座">
                <a:extLst>
                  <a:ext uri="{FF2B5EF4-FFF2-40B4-BE49-F238E27FC236}">
                    <a16:creationId xmlns:a16="http://schemas.microsoft.com/office/drawing/2014/main" id="{59935697-3642-6983-B5AA-83635F6CED67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3444" t="15415" r="33334" b="4150"/>
              <a:stretch>
                <a:fillRect/>
              </a:stretch>
            </xdr:blipFill>
            <xdr:spPr bwMode="auto">
              <a:xfrm>
                <a:off x="6800850" y="4552951"/>
                <a:ext cx="349874" cy="476250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grpSp>
          <xdr:nvGrpSpPr>
            <xdr:cNvPr id="18" name="グループ化 17">
              <a:extLst>
                <a:ext uri="{FF2B5EF4-FFF2-40B4-BE49-F238E27FC236}">
                  <a16:creationId xmlns:a16="http://schemas.microsoft.com/office/drawing/2014/main" id="{EFAEBAEB-AF43-96DF-33E3-40255B0D87D6}"/>
                </a:ext>
              </a:extLst>
            </xdr:cNvPr>
            <xdr:cNvGrpSpPr/>
          </xdr:nvGrpSpPr>
          <xdr:grpSpPr>
            <a:xfrm>
              <a:off x="2762249" y="2162175"/>
              <a:ext cx="6781801" cy="2181225"/>
              <a:chOff x="4190999" y="2143125"/>
              <a:chExt cx="6781801" cy="2181225"/>
            </a:xfrm>
          </xdr:grpSpPr>
          <xdr:grpSp>
            <xdr:nvGrpSpPr>
              <xdr:cNvPr id="2" name="グループ化 1">
                <a:extLst>
                  <a:ext uri="{FF2B5EF4-FFF2-40B4-BE49-F238E27FC236}">
                    <a16:creationId xmlns:a16="http://schemas.microsoft.com/office/drawing/2014/main" id="{C75DC8B7-FD8C-4BC8-B23D-120CDFA5A6A8}"/>
                  </a:ext>
                </a:extLst>
              </xdr:cNvPr>
              <xdr:cNvGrpSpPr/>
            </xdr:nvGrpSpPr>
            <xdr:grpSpPr>
              <a:xfrm>
                <a:off x="9344025" y="3038475"/>
                <a:ext cx="1628775" cy="952500"/>
                <a:chOff x="9048750" y="3038475"/>
                <a:chExt cx="1628775" cy="952500"/>
              </a:xfrm>
            </xdr:grpSpPr>
            <xdr:pic>
              <xdr:nvPicPr>
                <xdr:cNvPr id="47" name="図 46">
                  <a:extLst>
                    <a:ext uri="{FF2B5EF4-FFF2-40B4-BE49-F238E27FC236}">
                      <a16:creationId xmlns:a16="http://schemas.microsoft.com/office/drawing/2014/main" id="{0332EF77-BC17-4855-933D-E3D3C38491A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582150" y="3038475"/>
                  <a:ext cx="361950" cy="3619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50" name="テキスト ボックス 49">
                  <a:extLst>
                    <a:ext uri="{FF2B5EF4-FFF2-40B4-BE49-F238E27FC236}">
                      <a16:creationId xmlns:a16="http://schemas.microsoft.com/office/drawing/2014/main" id="{1721F308-2437-466A-A9B3-14427F804A0C}"/>
                    </a:ext>
                  </a:extLst>
                </xdr:cNvPr>
                <xdr:cNvSpPr txBox="1"/>
              </xdr:nvSpPr>
              <xdr:spPr>
                <a:xfrm>
                  <a:off x="9048750" y="3428999"/>
                  <a:ext cx="1628775" cy="56197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en-US" altLang="ja-JP" sz="9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yyyymmdd_</a:t>
                  </a:r>
                  <a:r>
                    <a:rPr kumimoji="1" lang="ja-JP" altLang="en-US" sz="9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案件アラート</a:t>
                  </a:r>
                  <a:endParaRPr kumimoji="1" lang="en-US" altLang="ja-JP" sz="900"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  <a:p>
                  <a:r>
                    <a:rPr kumimoji="1" lang="ja-JP" altLang="en-US" sz="9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チェックシート</a:t>
                  </a:r>
                </a:p>
              </xdr:txBody>
            </xdr:sp>
          </xdr:grpSp>
          <xdr:sp macro="" textlink="">
            <xdr:nvSpPr>
              <xdr:cNvPr id="106" name="右矢印 62">
                <a:extLst>
                  <a:ext uri="{FF2B5EF4-FFF2-40B4-BE49-F238E27FC236}">
                    <a16:creationId xmlns:a16="http://schemas.microsoft.com/office/drawing/2014/main" id="{7018615F-0A30-4939-8C25-54663CD82EC1}"/>
                  </a:ext>
                </a:extLst>
              </xdr:cNvPr>
              <xdr:cNvSpPr/>
            </xdr:nvSpPr>
            <xdr:spPr bwMode="auto">
              <a:xfrm>
                <a:off x="4190999" y="3238500"/>
                <a:ext cx="1838325" cy="123825"/>
              </a:xfrm>
              <a:prstGeom prst="rightArrow">
                <a:avLst/>
              </a:prstGeom>
              <a:solidFill>
                <a:srgbClr val="FF0000"/>
              </a:solidFill>
              <a:ln w="9525" cap="flat" cmpd="sng" algn="ctr">
                <a:noFill/>
                <a:prstDash val="solid"/>
                <a:round/>
                <a:headEnd type="none" w="med" len="med"/>
                <a:tailEnd type="none" w="lg" len="lg"/>
              </a:ln>
              <a:effectLst/>
            </xdr:spPr>
            <xdr:txBody>
              <a:bodyPr vert="horz" wrap="square" lIns="0" tIns="0" rIns="0" bIns="0" numCol="1" rtlCol="0" anchor="ctr" anchorCtr="0" compatLnSpc="1">
                <a:prstTxWarp prst="textNoShape">
                  <a:avLst/>
                </a:prstTxWarp>
              </a:bodyPr>
              <a:lstStyle/>
              <a:p>
                <a:endParaRPr lang="ja-JP" altLang="en-US"/>
              </a:p>
            </xdr:txBody>
          </xdr:sp>
          <xdr:sp macro="" textlink="">
            <xdr:nvSpPr>
              <xdr:cNvPr id="107" name="テキスト ボックス 1">
                <a:extLst>
                  <a:ext uri="{FF2B5EF4-FFF2-40B4-BE49-F238E27FC236}">
                    <a16:creationId xmlns:a16="http://schemas.microsoft.com/office/drawing/2014/main" id="{D6DDA2CE-7627-4F3B-AE4A-298F2711E87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267199" y="3019424"/>
                <a:ext cx="1714501" cy="25717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l" rtl="0">
                  <a:defRPr sz="1000"/>
                </a:pPr>
                <a:r>
                  <a:rPr lang="ja-JP" altLang="en-US" sz="800" b="0" i="0" u="none" strike="noStrike" baseline="0">
                    <a:solidFill>
                      <a:srgbClr val="FF0000"/>
                    </a:solidFill>
                    <a:latin typeface="メイリオ"/>
                    <a:ea typeface="メイリオ"/>
                  </a:rPr>
                  <a:t>出力した</a:t>
                </a:r>
                <a:r>
                  <a:rPr lang="en-US" altLang="ja-JP" sz="800" b="0" i="0" u="none" strike="noStrike" baseline="0">
                    <a:solidFill>
                      <a:srgbClr val="FF0000"/>
                    </a:solidFill>
                    <a:latin typeface="メイリオ"/>
                    <a:ea typeface="メイリオ"/>
                  </a:rPr>
                  <a:t>CSV</a:t>
                </a:r>
                <a:r>
                  <a:rPr lang="ja-JP" altLang="en-US" sz="800" b="0" i="0" u="none" strike="noStrike" baseline="0">
                    <a:solidFill>
                      <a:srgbClr val="FF0000"/>
                    </a:solidFill>
                    <a:latin typeface="メイリオ"/>
                    <a:ea typeface="メイリオ"/>
                  </a:rPr>
                  <a:t>ファイルを取り込む</a:t>
                </a:r>
              </a:p>
            </xdr:txBody>
          </xdr:sp>
          <xdr:sp macro="" textlink="">
            <xdr:nvSpPr>
              <xdr:cNvPr id="31" name="楕円 925">
                <a:extLst>
                  <a:ext uri="{FF2B5EF4-FFF2-40B4-BE49-F238E27FC236}">
                    <a16:creationId xmlns:a16="http://schemas.microsoft.com/office/drawing/2014/main" id="{51670296-9E15-44E9-8FB2-657029983AF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76925" y="2143125"/>
                <a:ext cx="2962275" cy="2181225"/>
              </a:xfrm>
              <a:prstGeom prst="ellipse">
                <a:avLst/>
              </a:prstGeom>
              <a:solidFill>
                <a:srgbClr val="C5E0B4">
                  <a:alpha val="30196"/>
                </a:srgbClr>
              </a:solidFill>
              <a:ln>
                <a:noFill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ctr" rtl="0"/>
                <a:r>
                  <a:rPr lang="ja-JP" altLang="en-US" sz="1000" b="1" i="0" baseline="0">
                    <a:solidFill>
                      <a:schemeClr val="accent6">
                        <a:lumMod val="75000"/>
                      </a:schemeClr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案件アラートチェック</a:t>
                </a:r>
                <a:r>
                  <a:rPr lang="en-US" altLang="ja-JP" sz="1000" b="1" i="0" baseline="0">
                    <a:solidFill>
                      <a:schemeClr val="accent6">
                        <a:lumMod val="75000"/>
                      </a:schemeClr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Python</a:t>
                </a:r>
                <a:r>
                  <a:rPr lang="ja-JP" altLang="ja-JP" sz="1000" b="1" i="0" baseline="0">
                    <a:solidFill>
                      <a:schemeClr val="accent6">
                        <a:lumMod val="75000"/>
                      </a:schemeClr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 </a:t>
                </a:r>
                <a:endParaRPr lang="ja-JP" altLang="ja-JP" sz="700">
                  <a:solidFill>
                    <a:schemeClr val="accent6">
                      <a:lumMod val="75000"/>
                    </a:schemeClr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  <a:p>
                <a:pPr algn="l" rtl="0">
                  <a:defRPr sz="1000"/>
                </a:pPr>
                <a:endParaRPr lang="ja-JP" altLang="en-US" sz="900" b="1" i="0" u="none" strike="noStrike" baseline="0">
                  <a:solidFill>
                    <a:srgbClr val="FF0000"/>
                  </a:solidFill>
                  <a:latin typeface="メイリオ"/>
                  <a:ea typeface="メイリオ"/>
                </a:endParaRPr>
              </a:p>
            </xdr:txBody>
          </xdr:sp>
        </xdr:grpSp>
      </xdr:grpSp>
      <xdr:sp macro="" textlink="">
        <xdr:nvSpPr>
          <xdr:cNvPr id="27" name="右矢印 62">
            <a:extLst>
              <a:ext uri="{FF2B5EF4-FFF2-40B4-BE49-F238E27FC236}">
                <a16:creationId xmlns:a16="http://schemas.microsoft.com/office/drawing/2014/main" id="{32323B40-2853-4266-8CAA-CE91E61705BF}"/>
              </a:ext>
            </a:extLst>
          </xdr:cNvPr>
          <xdr:cNvSpPr/>
        </xdr:nvSpPr>
        <xdr:spPr bwMode="auto">
          <a:xfrm>
            <a:off x="7115176" y="3219450"/>
            <a:ext cx="1047750" cy="142875"/>
          </a:xfrm>
          <a:prstGeom prst="rightArrow">
            <a:avLst/>
          </a:prstGeom>
          <a:solidFill>
            <a:srgbClr val="FF0000"/>
          </a:solidFill>
          <a:ln w="9525" cap="flat" cmpd="sng" algn="ctr">
            <a:noFill/>
            <a:prstDash val="solid"/>
            <a:round/>
            <a:headEnd type="none" w="med" len="med"/>
            <a:tailEnd type="none" w="lg" len="lg"/>
          </a:ln>
          <a:effectLst/>
        </xdr:spPr>
        <xdr:txBody>
          <a:bodyPr vert="horz" wrap="square" lIns="0" tIns="0" rIns="0" bIns="0" numCol="1" rtlCol="0" anchor="ctr" anchorCtr="0" compatLnSpc="1">
            <a:prstTxWarp prst="textNoShape">
              <a:avLst/>
            </a:prstTxWarp>
          </a:bodyPr>
          <a:lstStyle/>
          <a:p>
            <a:endParaRPr lang="ja-JP" altLang="en-US"/>
          </a:p>
        </xdr:txBody>
      </xdr:sp>
      <xdr:sp macro="" textlink="">
        <xdr:nvSpPr>
          <xdr:cNvPr id="28" name="テキスト ボックス 1">
            <a:extLst>
              <a:ext uri="{FF2B5EF4-FFF2-40B4-BE49-F238E27FC236}">
                <a16:creationId xmlns:a16="http://schemas.microsoft.com/office/drawing/2014/main" id="{91071A56-3B75-48D2-A77F-90FE41A8D9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58050" y="3267075"/>
            <a:ext cx="828676" cy="28575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FF0000"/>
                </a:solidFill>
                <a:latin typeface="メイリオ"/>
                <a:ea typeface="メイリオ"/>
              </a:rPr>
              <a:t>Excel</a:t>
            </a:r>
            <a:r>
              <a:rPr lang="ja-JP" altLang="en-US" sz="800" b="0" i="0" u="none" strike="noStrike" baseline="0">
                <a:solidFill>
                  <a:srgbClr val="FF0000"/>
                </a:solidFill>
                <a:latin typeface="メイリオ"/>
                <a:ea typeface="メイリオ"/>
              </a:rPr>
              <a:t>で出力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43</xdr:col>
      <xdr:colOff>161925</xdr:colOff>
      <xdr:row>4</xdr:row>
      <xdr:rowOff>155877</xdr:rowOff>
    </xdr:to>
    <xdr:sp macro="" textlink="">
      <xdr:nvSpPr>
        <xdr:cNvPr id="3" name="テキスト ボックス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76250" y="742950"/>
          <a:ext cx="9925050" cy="34637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契約業務全般</a:t>
          </a:r>
        </a:p>
      </xdr:txBody>
    </xdr:sp>
    <xdr:clientData/>
  </xdr:twoCellAnchor>
  <xdr:twoCellAnchor>
    <xdr:from>
      <xdr:col>34</xdr:col>
      <xdr:colOff>162231</xdr:colOff>
      <xdr:row>33</xdr:row>
      <xdr:rowOff>78611</xdr:rowOff>
    </xdr:from>
    <xdr:to>
      <xdr:col>40</xdr:col>
      <xdr:colOff>210926</xdr:colOff>
      <xdr:row>37</xdr:row>
      <xdr:rowOff>157249</xdr:rowOff>
    </xdr:to>
    <xdr:sp macro="" textlink="">
      <xdr:nvSpPr>
        <xdr:cNvPr id="51" name="線吹き出し 2 (枠付き)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 bwMode="auto">
        <a:xfrm>
          <a:off x="8258481" y="6479411"/>
          <a:ext cx="1477445" cy="84063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8549"/>
            <a:gd name="adj6" fmla="val -5512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今回のスコープ</a:t>
          </a:r>
          <a:endParaRPr kumimoji="1" lang="ja-JP" altLang="en-US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123825</xdr:colOff>
      <xdr:row>8</xdr:row>
      <xdr:rowOff>44435</xdr:rowOff>
    </xdr:from>
    <xdr:to>
      <xdr:col>6</xdr:col>
      <xdr:colOff>171367</xdr:colOff>
      <xdr:row>16</xdr:row>
      <xdr:rowOff>105030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 bwMode="auto">
        <a:xfrm>
          <a:off x="600075" y="1682735"/>
          <a:ext cx="1000042" cy="1584595"/>
        </a:xfrm>
        <a:prstGeom prst="rect">
          <a:avLst/>
        </a:prstGeom>
        <a:solidFill>
          <a:srgbClr val="333399"/>
        </a:solidFill>
        <a:ln w="19050" cap="flat" cmpd="sng" algn="ctr">
          <a:solidFill>
            <a:srgbClr val="333399">
              <a:shade val="50000"/>
            </a:srgbClr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契約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管理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123826</xdr:colOff>
      <xdr:row>17</xdr:row>
      <xdr:rowOff>166975</xdr:rowOff>
    </xdr:from>
    <xdr:to>
      <xdr:col>4</xdr:col>
      <xdr:colOff>128636</xdr:colOff>
      <xdr:row>31</xdr:row>
      <xdr:rowOff>139009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 bwMode="auto">
        <a:xfrm>
          <a:off x="600076" y="3519775"/>
          <a:ext cx="481060" cy="2639034"/>
        </a:xfrm>
        <a:prstGeom prst="rect">
          <a:avLst/>
        </a:prstGeom>
        <a:solidFill>
          <a:srgbClr val="333399"/>
        </a:solidFill>
        <a:ln w="19050" cap="flat" cmpd="sng" algn="ctr">
          <a:solidFill>
            <a:srgbClr val="333399">
              <a:shade val="50000"/>
            </a:srgbClr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料率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管理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166557</xdr:colOff>
      <xdr:row>25</xdr:row>
      <xdr:rowOff>14583</xdr:rowOff>
    </xdr:from>
    <xdr:to>
      <xdr:col>6</xdr:col>
      <xdr:colOff>171367</xdr:colOff>
      <xdr:row>31</xdr:row>
      <xdr:rowOff>159617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 bwMode="auto">
        <a:xfrm>
          <a:off x="1119057" y="4891383"/>
          <a:ext cx="481060" cy="1288034"/>
        </a:xfrm>
        <a:prstGeom prst="rect">
          <a:avLst/>
        </a:prstGeom>
        <a:solidFill>
          <a:srgbClr val="333399"/>
        </a:solidFill>
        <a:ln w="19050" cap="flat" cmpd="sng" algn="ctr">
          <a:solidFill>
            <a:srgbClr val="333399">
              <a:shade val="50000"/>
            </a:srgbClr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年度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料率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166557</xdr:colOff>
      <xdr:row>17</xdr:row>
      <xdr:rowOff>168547</xdr:rowOff>
    </xdr:from>
    <xdr:to>
      <xdr:col>6</xdr:col>
      <xdr:colOff>171367</xdr:colOff>
      <xdr:row>24</xdr:row>
      <xdr:rowOff>123081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 bwMode="auto">
        <a:xfrm>
          <a:off x="1119057" y="3521347"/>
          <a:ext cx="481060" cy="1288034"/>
        </a:xfrm>
        <a:prstGeom prst="rect">
          <a:avLst/>
        </a:prstGeom>
        <a:solidFill>
          <a:srgbClr val="333399"/>
        </a:solidFill>
        <a:ln w="19050" cap="flat" cmpd="sng" algn="ctr">
          <a:solidFill>
            <a:srgbClr val="333399">
              <a:shade val="50000"/>
            </a:srgbClr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期中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料率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lang="ja-JP" altLang="en-US" sz="9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</a:t>
          </a:r>
          <a:endParaRPr lang="en-US" altLang="ja-JP" sz="90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37071</xdr:colOff>
      <xdr:row>25</xdr:row>
      <xdr:rowOff>14583</xdr:rowOff>
    </xdr:from>
    <xdr:to>
      <xdr:col>11</xdr:col>
      <xdr:colOff>177371</xdr:colOff>
      <xdr:row>31</xdr:row>
      <xdr:rowOff>159617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 bwMode="auto">
        <a:xfrm>
          <a:off x="1703946" y="4891383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9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年度査定結果</a:t>
          </a:r>
          <a:endParaRPr kumimoji="0" lang="en-US" altLang="ja-JP" sz="9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（査定表）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37071</xdr:colOff>
      <xdr:row>17</xdr:row>
      <xdr:rowOff>165611</xdr:rowOff>
    </xdr:from>
    <xdr:to>
      <xdr:col>11</xdr:col>
      <xdr:colOff>177371</xdr:colOff>
      <xdr:row>24</xdr:row>
      <xdr:rowOff>120145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 bwMode="auto">
        <a:xfrm>
          <a:off x="1703946" y="3518411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9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横断会決議</a:t>
          </a:r>
          <a:endParaRPr kumimoji="0" lang="en-US" altLang="ja-JP" sz="9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endParaRPr kumimoji="0" lang="en-US" altLang="ja-JP" sz="9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・商品（追加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変更）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・個社案件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（新規契約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契約変更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契約終了）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37071</xdr:colOff>
      <xdr:row>8</xdr:row>
      <xdr:rowOff>44435</xdr:rowOff>
    </xdr:from>
    <xdr:to>
      <xdr:col>11</xdr:col>
      <xdr:colOff>177371</xdr:colOff>
      <xdr:row>16</xdr:row>
      <xdr:rowOff>105030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 bwMode="auto">
        <a:xfrm>
          <a:off x="1703946" y="1682735"/>
          <a:ext cx="1092800" cy="1584595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9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横断会決議</a:t>
          </a:r>
          <a:endParaRPr kumimoji="0" lang="en-US" altLang="ja-JP" sz="9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endParaRPr kumimoji="0" lang="en-US" altLang="ja-JP" sz="9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・商品（追加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変更）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・制度変更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・個社案件（新規契約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契約変更</a:t>
          </a:r>
          <a:r>
            <a:rPr kumimoji="0" lang="en-US" altLang="ja-JP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/</a:t>
          </a: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契約終了）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37071</xdr:colOff>
      <xdr:row>6</xdr:row>
      <xdr:rowOff>46737</xdr:rowOff>
    </xdr:from>
    <xdr:to>
      <xdr:col>11</xdr:col>
      <xdr:colOff>177371</xdr:colOff>
      <xdr:row>7</xdr:row>
      <xdr:rowOff>174905</xdr:rowOff>
    </xdr:to>
    <xdr:sp macro="" textlink="">
      <xdr:nvSpPr>
        <xdr:cNvPr id="60" name="Rectangle 307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rrowheads="1"/>
        </xdr:cNvSpPr>
      </xdr:nvSpPr>
      <xdr:spPr bwMode="gray">
        <a:xfrm>
          <a:off x="1703946" y="1304037"/>
          <a:ext cx="1092800" cy="318668"/>
        </a:xfrm>
        <a:prstGeom prst="rect">
          <a:avLst/>
        </a:prstGeom>
        <a:solidFill>
          <a:schemeClr val="bg1"/>
        </a:solidFill>
        <a:ln w="9525" algn="ctr">
          <a:noFill/>
          <a:miter lim="800000"/>
          <a:headEnd/>
          <a:tailEnd/>
        </a:ln>
        <a:effectLst>
          <a:outerShdw dist="12700" dir="5400000" algn="ctr" rotWithShape="0">
            <a:schemeClr val="tx1">
              <a:lumMod val="75000"/>
              <a:lumOff val="25000"/>
            </a:schemeClr>
          </a:outerShdw>
        </a:effectLst>
      </xdr:spPr>
      <xdr:txBody>
        <a:bodyPr wrap="square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>
                  <a:lumMod val="75000"/>
                  <a:lumOff val="2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S PGothic" charset="-128"/>
              <a:sym typeface="Arial"/>
            </a:rPr>
            <a:t>起点となる事項</a:t>
          </a:r>
          <a:endParaRPr lang="en-US" altLang="ja-JP" sz="900">
            <a:solidFill>
              <a:schemeClr val="tx1">
                <a:lumMod val="75000"/>
                <a:lumOff val="2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MS PGothic" charset="-128"/>
            <a:sym typeface="Arial"/>
          </a:endParaRPr>
        </a:p>
      </xdr:txBody>
    </xdr:sp>
    <xdr:clientData/>
  </xdr:twoCellAnchor>
  <xdr:twoCellAnchor>
    <xdr:from>
      <xdr:col>12</xdr:col>
      <xdr:colOff>43074</xdr:colOff>
      <xdr:row>25</xdr:row>
      <xdr:rowOff>14583</xdr:rowOff>
    </xdr:from>
    <xdr:to>
      <xdr:col>16</xdr:col>
      <xdr:colOff>183374</xdr:colOff>
      <xdr:row>31</xdr:row>
      <xdr:rowOff>159617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 bwMode="auto">
        <a:xfrm>
          <a:off x="2900574" y="4891383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・手数料インセンティブ一覧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・パートナー情報マスタ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43074</xdr:colOff>
      <xdr:row>17</xdr:row>
      <xdr:rowOff>165611</xdr:rowOff>
    </xdr:from>
    <xdr:to>
      <xdr:col>16</xdr:col>
      <xdr:colOff>183374</xdr:colOff>
      <xdr:row>24</xdr:row>
      <xdr:rowOff>120145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 bwMode="auto">
        <a:xfrm>
          <a:off x="2900574" y="3518411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・手数料インセンティブ一覧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・パートナー情報マスタ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5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（運用がちゃんとしていないが、このマスタがキーとなっている？）</a:t>
          </a:r>
          <a:endParaRPr kumimoji="0" lang="en-US" altLang="ja-JP" sz="5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43074</xdr:colOff>
      <xdr:row>8</xdr:row>
      <xdr:rowOff>44435</xdr:rowOff>
    </xdr:from>
    <xdr:to>
      <xdr:col>16</xdr:col>
      <xdr:colOff>183374</xdr:colOff>
      <xdr:row>16</xdr:row>
      <xdr:rowOff>105030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 bwMode="auto">
        <a:xfrm>
          <a:off x="2900574" y="1682735"/>
          <a:ext cx="1092800" cy="1584595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en-US" altLang="ja-JP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現状無し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en-US" altLang="ja-JP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(</a:t>
          </a: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毎年作り変え</a:t>
          </a:r>
          <a:r>
            <a:rPr kumimoji="0" lang="en-US" altLang="ja-JP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★各社契約管理リストを作りたい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43074</xdr:colOff>
      <xdr:row>6</xdr:row>
      <xdr:rowOff>46737</xdr:rowOff>
    </xdr:from>
    <xdr:to>
      <xdr:col>16</xdr:col>
      <xdr:colOff>183374</xdr:colOff>
      <xdr:row>7</xdr:row>
      <xdr:rowOff>174905</xdr:rowOff>
    </xdr:to>
    <xdr:sp macro="" textlink="">
      <xdr:nvSpPr>
        <xdr:cNvPr id="64" name="Rectangle 307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rrowheads="1"/>
        </xdr:cNvSpPr>
      </xdr:nvSpPr>
      <xdr:spPr bwMode="gray">
        <a:xfrm>
          <a:off x="2900574" y="1304037"/>
          <a:ext cx="1092800" cy="318668"/>
        </a:xfrm>
        <a:prstGeom prst="rect">
          <a:avLst/>
        </a:prstGeom>
        <a:solidFill>
          <a:schemeClr val="bg1"/>
        </a:solidFill>
        <a:ln w="9525" algn="ctr">
          <a:noFill/>
          <a:miter lim="800000"/>
          <a:headEnd/>
          <a:tailEnd/>
        </a:ln>
        <a:effectLst>
          <a:outerShdw dist="12700" dir="5400000" algn="ctr" rotWithShape="0">
            <a:schemeClr val="tx1">
              <a:lumMod val="75000"/>
              <a:lumOff val="25000"/>
            </a:schemeClr>
          </a:outerShdw>
        </a:effectLst>
      </xdr:spPr>
      <xdr:txBody>
        <a:bodyPr wrap="square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>
                  <a:lumMod val="75000"/>
                  <a:lumOff val="2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S PGothic" charset="-128"/>
              <a:sym typeface="Arial"/>
            </a:rPr>
            <a:t>管理マスタ</a:t>
          </a:r>
          <a:endParaRPr lang="en-US" altLang="ja-JP" sz="900">
            <a:solidFill>
              <a:schemeClr val="tx1">
                <a:lumMod val="75000"/>
                <a:lumOff val="2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MS PGothic" charset="-128"/>
            <a:sym typeface="Arial"/>
          </a:endParaRPr>
        </a:p>
      </xdr:txBody>
    </xdr:sp>
    <xdr:clientData/>
  </xdr:twoCellAnchor>
  <xdr:twoCellAnchor>
    <xdr:from>
      <xdr:col>21</xdr:col>
      <xdr:colOff>192211</xdr:colOff>
      <xdr:row>6</xdr:row>
      <xdr:rowOff>46737</xdr:rowOff>
    </xdr:from>
    <xdr:to>
      <xdr:col>43</xdr:col>
      <xdr:colOff>117565</xdr:colOff>
      <xdr:row>7</xdr:row>
      <xdr:rowOff>174905</xdr:rowOff>
    </xdr:to>
    <xdr:sp macro="" textlink="">
      <xdr:nvSpPr>
        <xdr:cNvPr id="65" name="Rectangle 307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rrowheads="1"/>
        </xdr:cNvSpPr>
      </xdr:nvSpPr>
      <xdr:spPr bwMode="gray">
        <a:xfrm>
          <a:off x="5192836" y="1304037"/>
          <a:ext cx="5164104" cy="318668"/>
        </a:xfrm>
        <a:prstGeom prst="rect">
          <a:avLst/>
        </a:prstGeom>
        <a:solidFill>
          <a:schemeClr val="bg1"/>
        </a:solidFill>
        <a:ln w="9525" algn="ctr">
          <a:noFill/>
          <a:miter lim="800000"/>
          <a:headEnd/>
          <a:tailEnd/>
        </a:ln>
        <a:effectLst>
          <a:outerShdw dist="12700" dir="5400000" algn="ctr" rotWithShape="0">
            <a:schemeClr val="tx1">
              <a:lumMod val="75000"/>
              <a:lumOff val="25000"/>
            </a:schemeClr>
          </a:outerShdw>
        </a:effectLst>
      </xdr:spPr>
      <xdr:txBody>
        <a:bodyPr wrap="square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>
                  <a:lumMod val="75000"/>
                  <a:lumOff val="2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S PGothic" charset="-128"/>
              <a:sym typeface="Arial"/>
            </a:rPr>
            <a:t>業務フロー</a:t>
          </a:r>
          <a:endParaRPr lang="en-US" altLang="ja-JP" sz="900">
            <a:solidFill>
              <a:schemeClr val="tx1">
                <a:lumMod val="75000"/>
                <a:lumOff val="2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MS PGothic" charset="-128"/>
            <a:sym typeface="Arial"/>
          </a:endParaRPr>
        </a:p>
      </xdr:txBody>
    </xdr:sp>
    <xdr:clientData/>
  </xdr:twoCellAnchor>
  <xdr:twoCellAnchor>
    <xdr:from>
      <xdr:col>22</xdr:col>
      <xdr:colOff>21111</xdr:colOff>
      <xdr:row>8</xdr:row>
      <xdr:rowOff>105032</xdr:rowOff>
    </xdr:from>
    <xdr:to>
      <xdr:col>27</xdr:col>
      <xdr:colOff>8497</xdr:colOff>
      <xdr:row>16</xdr:row>
      <xdr:rowOff>105030</xdr:rowOff>
    </xdr:to>
    <xdr:sp macro="" textlink="">
      <xdr:nvSpPr>
        <xdr:cNvPr id="66" name="ホームベース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 bwMode="auto">
        <a:xfrm>
          <a:off x="5259861" y="1743332"/>
          <a:ext cx="1178011" cy="1523998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35702</xdr:colOff>
      <xdr:row>8</xdr:row>
      <xdr:rowOff>105032</xdr:rowOff>
    </xdr:from>
    <xdr:to>
      <xdr:col>38</xdr:col>
      <xdr:colOff>23088</xdr:colOff>
      <xdr:row>12</xdr:row>
      <xdr:rowOff>92673</xdr:rowOff>
    </xdr:to>
    <xdr:sp macro="" textlink="">
      <xdr:nvSpPr>
        <xdr:cNvPr id="67" name="ホームベース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 bwMode="auto">
        <a:xfrm>
          <a:off x="7893827" y="1743332"/>
          <a:ext cx="1178011" cy="749641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35702</xdr:colOff>
      <xdr:row>12</xdr:row>
      <xdr:rowOff>117389</xdr:rowOff>
    </xdr:from>
    <xdr:to>
      <xdr:col>38</xdr:col>
      <xdr:colOff>23088</xdr:colOff>
      <xdr:row>16</xdr:row>
      <xdr:rowOff>105030</xdr:rowOff>
    </xdr:to>
    <xdr:sp macro="" textlink="">
      <xdr:nvSpPr>
        <xdr:cNvPr id="68" name="ホームベース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 bwMode="auto">
        <a:xfrm>
          <a:off x="7893827" y="2517689"/>
          <a:ext cx="1178011" cy="749641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38</xdr:col>
      <xdr:colOff>130179</xdr:colOff>
      <xdr:row>8</xdr:row>
      <xdr:rowOff>105032</xdr:rowOff>
    </xdr:from>
    <xdr:to>
      <xdr:col>43</xdr:col>
      <xdr:colOff>117565</xdr:colOff>
      <xdr:row>12</xdr:row>
      <xdr:rowOff>92673</xdr:rowOff>
    </xdr:to>
    <xdr:sp macro="" textlink="">
      <xdr:nvSpPr>
        <xdr:cNvPr id="69" name="ホームベース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 bwMode="auto">
        <a:xfrm>
          <a:off x="9178929" y="1743332"/>
          <a:ext cx="1178011" cy="749641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196245</xdr:colOff>
      <xdr:row>11</xdr:row>
      <xdr:rowOff>126732</xdr:rowOff>
    </xdr:from>
    <xdr:to>
      <xdr:col>26</xdr:col>
      <xdr:colOff>162102</xdr:colOff>
      <xdr:row>13</xdr:row>
      <xdr:rowOff>63127</xdr:rowOff>
    </xdr:to>
    <xdr:sp macro="" textlink="">
      <xdr:nvSpPr>
        <xdr:cNvPr id="70" name="テキスト ボックス 3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5434995" y="2393682"/>
          <a:ext cx="918357" cy="3173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契約検討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111821</xdr:colOff>
      <xdr:row>9</xdr:row>
      <xdr:rowOff>58519</xdr:rowOff>
    </xdr:from>
    <xdr:to>
      <xdr:col>37</xdr:col>
      <xdr:colOff>114909</xdr:colOff>
      <xdr:row>12</xdr:row>
      <xdr:rowOff>29475</xdr:rowOff>
    </xdr:to>
    <xdr:sp macro="" textlink="">
      <xdr:nvSpPr>
        <xdr:cNvPr id="71" name="テキスト ボックス 25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7969946" y="1944469"/>
          <a:ext cx="955588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契約書締結準備・発送</a:t>
          </a:r>
        </a:p>
      </xdr:txBody>
    </xdr:sp>
    <xdr:clientData/>
  </xdr:twoCellAnchor>
  <xdr:twoCellAnchor>
    <xdr:from>
      <xdr:col>39</xdr:col>
      <xdr:colOff>3265</xdr:colOff>
      <xdr:row>9</xdr:row>
      <xdr:rowOff>58519</xdr:rowOff>
    </xdr:from>
    <xdr:to>
      <xdr:col>43</xdr:col>
      <xdr:colOff>6353</xdr:colOff>
      <xdr:row>12</xdr:row>
      <xdr:rowOff>29475</xdr:rowOff>
    </xdr:to>
    <xdr:sp macro="" textlink="">
      <xdr:nvSpPr>
        <xdr:cNvPr id="72" name="テキスト ボックス 2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9290140" y="1944469"/>
          <a:ext cx="955588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契約書捺印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・締結完了</a:t>
          </a: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111821</xdr:colOff>
      <xdr:row>13</xdr:row>
      <xdr:rowOff>58341</xdr:rowOff>
    </xdr:from>
    <xdr:to>
      <xdr:col>37</xdr:col>
      <xdr:colOff>114909</xdr:colOff>
      <xdr:row>16</xdr:row>
      <xdr:rowOff>29297</xdr:rowOff>
    </xdr:to>
    <xdr:sp macro="" textlink="">
      <xdr:nvSpPr>
        <xdr:cNvPr id="73" name="テキスト ボックス 2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7969946" y="2706291"/>
          <a:ext cx="955588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契約関連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レター格納</a:t>
          </a:r>
        </a:p>
      </xdr:txBody>
    </xdr:sp>
    <xdr:clientData/>
  </xdr:twoCellAnchor>
  <xdr:twoCellAnchor>
    <xdr:from>
      <xdr:col>27</xdr:col>
      <xdr:colOff>140137</xdr:colOff>
      <xdr:row>8</xdr:row>
      <xdr:rowOff>105032</xdr:rowOff>
    </xdr:from>
    <xdr:to>
      <xdr:col>32</xdr:col>
      <xdr:colOff>127523</xdr:colOff>
      <xdr:row>12</xdr:row>
      <xdr:rowOff>92673</xdr:rowOff>
    </xdr:to>
    <xdr:sp macro="" textlink="">
      <xdr:nvSpPr>
        <xdr:cNvPr id="74" name="ホームベース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 bwMode="auto">
        <a:xfrm>
          <a:off x="6569512" y="1743332"/>
          <a:ext cx="1178011" cy="749641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140137</xdr:colOff>
      <xdr:row>12</xdr:row>
      <xdr:rowOff>117389</xdr:rowOff>
    </xdr:from>
    <xdr:to>
      <xdr:col>32</xdr:col>
      <xdr:colOff>127523</xdr:colOff>
      <xdr:row>16</xdr:row>
      <xdr:rowOff>105030</xdr:rowOff>
    </xdr:to>
    <xdr:sp macro="" textlink="">
      <xdr:nvSpPr>
        <xdr:cNvPr id="75" name="ホームベース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 bwMode="auto">
        <a:xfrm>
          <a:off x="6569512" y="2517689"/>
          <a:ext cx="1178011" cy="749641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216256</xdr:colOff>
      <xdr:row>9</xdr:row>
      <xdr:rowOff>165613</xdr:rowOff>
    </xdr:from>
    <xdr:to>
      <xdr:col>31</xdr:col>
      <xdr:colOff>219344</xdr:colOff>
      <xdr:row>11</xdr:row>
      <xdr:rowOff>102008</xdr:rowOff>
    </xdr:to>
    <xdr:sp macro="" textlink="">
      <xdr:nvSpPr>
        <xdr:cNvPr id="76" name="テキスト ボックス 32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6645631" y="2051563"/>
          <a:ext cx="955588" cy="3173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契約書作成</a:t>
          </a:r>
        </a:p>
      </xdr:txBody>
    </xdr:sp>
    <xdr:clientData/>
  </xdr:twoCellAnchor>
  <xdr:twoCellAnchor>
    <xdr:from>
      <xdr:col>27</xdr:col>
      <xdr:colOff>216256</xdr:colOff>
      <xdr:row>13</xdr:row>
      <xdr:rowOff>58341</xdr:rowOff>
    </xdr:from>
    <xdr:to>
      <xdr:col>31</xdr:col>
      <xdr:colOff>219344</xdr:colOff>
      <xdr:row>16</xdr:row>
      <xdr:rowOff>29297</xdr:rowOff>
    </xdr:to>
    <xdr:sp macro="" textlink="">
      <xdr:nvSpPr>
        <xdr:cNvPr id="77" name="テキスト ボックス 33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6645631" y="2706291"/>
          <a:ext cx="955588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契約関連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レター作成</a:t>
          </a:r>
        </a:p>
      </xdr:txBody>
    </xdr:sp>
    <xdr:clientData/>
  </xdr:twoCellAnchor>
  <xdr:twoCellAnchor>
    <xdr:from>
      <xdr:col>27</xdr:col>
      <xdr:colOff>140137</xdr:colOff>
      <xdr:row>25</xdr:row>
      <xdr:rowOff>14583</xdr:rowOff>
    </xdr:from>
    <xdr:to>
      <xdr:col>32</xdr:col>
      <xdr:colOff>127523</xdr:colOff>
      <xdr:row>31</xdr:row>
      <xdr:rowOff>159617</xdr:rowOff>
    </xdr:to>
    <xdr:sp macro="" textlink="">
      <xdr:nvSpPr>
        <xdr:cNvPr id="78" name="ホームベース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 bwMode="auto">
        <a:xfrm>
          <a:off x="6569512" y="4891383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187376</xdr:colOff>
      <xdr:row>25</xdr:row>
      <xdr:rowOff>141583</xdr:rowOff>
    </xdr:from>
    <xdr:to>
      <xdr:col>32</xdr:col>
      <xdr:colOff>43002</xdr:colOff>
      <xdr:row>31</xdr:row>
      <xdr:rowOff>66183</xdr:rowOff>
    </xdr:to>
    <xdr:sp macro="" textlink="">
      <xdr:nvSpPr>
        <xdr:cNvPr id="79" name="テキスト ボックス 35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/>
      </xdr:nvSpPr>
      <xdr:spPr>
        <a:xfrm>
          <a:off x="6616751" y="5075533"/>
          <a:ext cx="1046251" cy="10676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とんぺ</a:t>
          </a:r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い取り込み</a:t>
          </a:r>
          <a:endParaRPr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700">
              <a:latin typeface="メイリオ" panose="020B0604030504040204" pitchFamily="50" charset="-128"/>
              <a:ea typeface="メイリオ" panose="020B0604030504040204" pitchFamily="50" charset="-128"/>
            </a:rPr>
            <a:t>①査定情報取りこみシート</a:t>
          </a:r>
          <a:endParaRPr kumimoji="1" lang="en-US" altLang="ja-JP" sz="7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lang="ja-JP" altLang="en-US" sz="700">
              <a:latin typeface="メイリオ" panose="020B0604030504040204" pitchFamily="50" charset="-128"/>
              <a:ea typeface="メイリオ" panose="020B0604030504040204" pitchFamily="50" charset="-128"/>
            </a:rPr>
            <a:t>②インセン率マスタ</a:t>
          </a:r>
          <a:endParaRPr lang="en-US" altLang="ja-JP" sz="7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140137</xdr:colOff>
      <xdr:row>17</xdr:row>
      <xdr:rowOff>165611</xdr:rowOff>
    </xdr:from>
    <xdr:to>
      <xdr:col>32</xdr:col>
      <xdr:colOff>127523</xdr:colOff>
      <xdr:row>24</xdr:row>
      <xdr:rowOff>120145</xdr:rowOff>
    </xdr:to>
    <xdr:sp macro="" textlink="">
      <xdr:nvSpPr>
        <xdr:cNvPr id="80" name="ホームベース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 bwMode="auto">
        <a:xfrm>
          <a:off x="6569512" y="3518411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229815</xdr:colOff>
      <xdr:row>19</xdr:row>
      <xdr:rowOff>168961</xdr:rowOff>
    </xdr:from>
    <xdr:to>
      <xdr:col>31</xdr:col>
      <xdr:colOff>195672</xdr:colOff>
      <xdr:row>22</xdr:row>
      <xdr:rowOff>139917</xdr:rowOff>
    </xdr:to>
    <xdr:sp macro="" textlink="">
      <xdr:nvSpPr>
        <xdr:cNvPr id="81" name="テキスト ボックス 37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6659190" y="3959911"/>
          <a:ext cx="918357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料率申請シート起票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21111</xdr:colOff>
      <xdr:row>25</xdr:row>
      <xdr:rowOff>14583</xdr:rowOff>
    </xdr:from>
    <xdr:to>
      <xdr:col>27</xdr:col>
      <xdr:colOff>8497</xdr:colOff>
      <xdr:row>31</xdr:row>
      <xdr:rowOff>159617</xdr:rowOff>
    </xdr:to>
    <xdr:sp macro="" textlink="">
      <xdr:nvSpPr>
        <xdr:cNvPr id="82" name="ホームベース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 bwMode="auto">
        <a:xfrm>
          <a:off x="5259861" y="4891383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132744</xdr:colOff>
      <xdr:row>27</xdr:row>
      <xdr:rowOff>139100</xdr:rowOff>
    </xdr:from>
    <xdr:to>
      <xdr:col>26</xdr:col>
      <xdr:colOff>98601</xdr:colOff>
      <xdr:row>29</xdr:row>
      <xdr:rowOff>75495</xdr:rowOff>
    </xdr:to>
    <xdr:sp macro="" textlink="">
      <xdr:nvSpPr>
        <xdr:cNvPr id="83" name="テキスト ボックス 39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5371494" y="5454050"/>
          <a:ext cx="918357" cy="3173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年度査定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21111</xdr:colOff>
      <xdr:row>17</xdr:row>
      <xdr:rowOff>165611</xdr:rowOff>
    </xdr:from>
    <xdr:to>
      <xdr:col>27</xdr:col>
      <xdr:colOff>8497</xdr:colOff>
      <xdr:row>24</xdr:row>
      <xdr:rowOff>120145</xdr:rowOff>
    </xdr:to>
    <xdr:sp macro="" textlink="">
      <xdr:nvSpPr>
        <xdr:cNvPr id="84" name="ホームベース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 bwMode="auto">
        <a:xfrm>
          <a:off x="5259861" y="3518411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74737</xdr:colOff>
      <xdr:row>19</xdr:row>
      <xdr:rowOff>168961</xdr:rowOff>
    </xdr:from>
    <xdr:to>
      <xdr:col>27</xdr:col>
      <xdr:colOff>43509</xdr:colOff>
      <xdr:row>22</xdr:row>
      <xdr:rowOff>139917</xdr:rowOff>
    </xdr:to>
    <xdr:sp macro="" textlink="">
      <xdr:nvSpPr>
        <xdr:cNvPr id="85" name="テキスト ボックス 4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5313487" y="3959911"/>
          <a:ext cx="1159397" cy="5424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案件発生</a:t>
          </a:r>
          <a:endParaRPr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（横断会決議）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39487</xdr:colOff>
      <xdr:row>25</xdr:row>
      <xdr:rowOff>14583</xdr:rowOff>
    </xdr:from>
    <xdr:to>
      <xdr:col>38</xdr:col>
      <xdr:colOff>26873</xdr:colOff>
      <xdr:row>31</xdr:row>
      <xdr:rowOff>159617</xdr:rowOff>
    </xdr:to>
    <xdr:sp macro="" textlink="">
      <xdr:nvSpPr>
        <xdr:cNvPr id="86" name="ホームベース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 bwMode="auto">
        <a:xfrm>
          <a:off x="7897612" y="4891383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39487</xdr:colOff>
      <xdr:row>17</xdr:row>
      <xdr:rowOff>165611</xdr:rowOff>
    </xdr:from>
    <xdr:to>
      <xdr:col>38</xdr:col>
      <xdr:colOff>26873</xdr:colOff>
      <xdr:row>24</xdr:row>
      <xdr:rowOff>120145</xdr:rowOff>
    </xdr:to>
    <xdr:sp macro="" textlink="">
      <xdr:nvSpPr>
        <xdr:cNvPr id="87" name="ホームベース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 bwMode="auto">
        <a:xfrm>
          <a:off x="7897612" y="3518411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17</xdr:col>
      <xdr:colOff>7724</xdr:colOff>
      <xdr:row>25</xdr:row>
      <xdr:rowOff>14583</xdr:rowOff>
    </xdr:from>
    <xdr:to>
      <xdr:col>21</xdr:col>
      <xdr:colOff>148024</xdr:colOff>
      <xdr:row>31</xdr:row>
      <xdr:rowOff>159617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 bwMode="auto">
        <a:xfrm>
          <a:off x="4055849" y="4891383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・査定情報取り込みシート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・インセン率マスタ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・料率申請シート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7724</xdr:colOff>
      <xdr:row>17</xdr:row>
      <xdr:rowOff>165611</xdr:rowOff>
    </xdr:from>
    <xdr:to>
      <xdr:col>21</xdr:col>
      <xdr:colOff>148024</xdr:colOff>
      <xdr:row>24</xdr:row>
      <xdr:rowOff>120145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 bwMode="auto">
        <a:xfrm>
          <a:off x="4055849" y="3518411"/>
          <a:ext cx="1092800" cy="1288034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・料率申請シート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7724</xdr:colOff>
      <xdr:row>8</xdr:row>
      <xdr:rowOff>44435</xdr:rowOff>
    </xdr:from>
    <xdr:to>
      <xdr:col>21</xdr:col>
      <xdr:colOff>148024</xdr:colOff>
      <xdr:row>16</xdr:row>
      <xdr:rowOff>105030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 bwMode="auto">
        <a:xfrm>
          <a:off x="4055849" y="1682735"/>
          <a:ext cx="1092800" cy="1584595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headEnd type="none" w="med" len="med"/>
          <a:tailEnd type="none" w="lg" len="lg"/>
        </a:ln>
        <a:effectLst/>
      </xdr:spPr>
      <xdr:txBody>
        <a:bodyPr vert="horz" wrap="square" lIns="0" tIns="0" rIns="0" bIns="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en-US" altLang="ja-JP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現状無し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（手作業にて対応）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lvl="0" algn="ctr">
            <a:lnSpc>
              <a:spcPct val="90000"/>
            </a:lnSpc>
            <a:buClr>
              <a:srgbClr val="2B38B3"/>
            </a:buClr>
            <a:defRPr/>
          </a:pP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  <a:p>
          <a:pPr algn="ctr">
            <a:lnSpc>
              <a:spcPct val="90000"/>
            </a:lnSpc>
            <a:buClr>
              <a:srgbClr val="2B38B3"/>
            </a:buClr>
            <a:defRPr/>
          </a:pPr>
          <a:r>
            <a:rPr kumimoji="0" lang="ja-JP" altLang="en-US" sz="700" kern="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★契約書・レターのパターン一覧を作りたい</a:t>
          </a:r>
          <a:endParaRPr kumimoji="0" lang="en-US" altLang="ja-JP" sz="700" kern="0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7724</xdr:colOff>
      <xdr:row>6</xdr:row>
      <xdr:rowOff>46737</xdr:rowOff>
    </xdr:from>
    <xdr:to>
      <xdr:col>21</xdr:col>
      <xdr:colOff>148024</xdr:colOff>
      <xdr:row>7</xdr:row>
      <xdr:rowOff>174905</xdr:rowOff>
    </xdr:to>
    <xdr:sp macro="" textlink="">
      <xdr:nvSpPr>
        <xdr:cNvPr id="91" name="Rectangle 307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rrowheads="1"/>
        </xdr:cNvSpPr>
      </xdr:nvSpPr>
      <xdr:spPr bwMode="gray">
        <a:xfrm>
          <a:off x="4055849" y="1304037"/>
          <a:ext cx="1092800" cy="318668"/>
        </a:xfrm>
        <a:prstGeom prst="rect">
          <a:avLst/>
        </a:prstGeom>
        <a:solidFill>
          <a:schemeClr val="bg1"/>
        </a:solidFill>
        <a:ln w="9525" algn="ctr">
          <a:noFill/>
          <a:miter lim="800000"/>
          <a:headEnd/>
          <a:tailEnd/>
        </a:ln>
        <a:effectLst>
          <a:outerShdw dist="12700" dir="5400000" algn="ctr" rotWithShape="0">
            <a:schemeClr val="tx1">
              <a:lumMod val="75000"/>
              <a:lumOff val="25000"/>
            </a:schemeClr>
          </a:outerShdw>
        </a:effectLst>
      </xdr:spPr>
      <xdr:txBody>
        <a:bodyPr wrap="square" anchor="ctr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>
                  <a:lumMod val="75000"/>
                  <a:lumOff val="2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S PGothic" charset="-128"/>
              <a:sym typeface="Arial"/>
            </a:rPr>
            <a:t>管理シート</a:t>
          </a:r>
          <a:endParaRPr lang="en-US" altLang="ja-JP" sz="900">
            <a:solidFill>
              <a:schemeClr val="tx1">
                <a:lumMod val="75000"/>
                <a:lumOff val="2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MS PGothic" charset="-128"/>
            <a:sym typeface="Arial"/>
          </a:endParaRPr>
        </a:p>
      </xdr:txBody>
    </xdr:sp>
    <xdr:clientData/>
  </xdr:twoCellAnchor>
  <xdr:twoCellAnchor>
    <xdr:from>
      <xdr:col>38</xdr:col>
      <xdr:colOff>117485</xdr:colOff>
      <xdr:row>25</xdr:row>
      <xdr:rowOff>14583</xdr:rowOff>
    </xdr:from>
    <xdr:to>
      <xdr:col>43</xdr:col>
      <xdr:colOff>104871</xdr:colOff>
      <xdr:row>31</xdr:row>
      <xdr:rowOff>159617</xdr:rowOff>
    </xdr:to>
    <xdr:sp macro="" textlink="">
      <xdr:nvSpPr>
        <xdr:cNvPr id="92" name="ホームベース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 bwMode="auto">
        <a:xfrm>
          <a:off x="9166235" y="4891383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38</xdr:col>
      <xdr:colOff>117485</xdr:colOff>
      <xdr:row>17</xdr:row>
      <xdr:rowOff>165611</xdr:rowOff>
    </xdr:from>
    <xdr:to>
      <xdr:col>43</xdr:col>
      <xdr:colOff>104871</xdr:colOff>
      <xdr:row>24</xdr:row>
      <xdr:rowOff>120145</xdr:rowOff>
    </xdr:to>
    <xdr:sp macro="" textlink="">
      <xdr:nvSpPr>
        <xdr:cNvPr id="93" name="ホームベース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 bwMode="auto">
        <a:xfrm>
          <a:off x="9166235" y="3518411"/>
          <a:ext cx="1178011" cy="1288034"/>
        </a:xfrm>
        <a:prstGeom prst="homePlate">
          <a:avLst>
            <a:gd name="adj" fmla="val 23427"/>
          </a:avLst>
        </a:prstGeom>
        <a:solidFill>
          <a:srgbClr val="FFFFCC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64531</xdr:colOff>
      <xdr:row>25</xdr:row>
      <xdr:rowOff>141583</xdr:rowOff>
    </xdr:from>
    <xdr:to>
      <xdr:col>37</xdr:col>
      <xdr:colOff>158282</xdr:colOff>
      <xdr:row>30</xdr:row>
      <xdr:rowOff>131649</xdr:rowOff>
    </xdr:to>
    <xdr:sp macro="" textlink="">
      <xdr:nvSpPr>
        <xdr:cNvPr id="94" name="テキスト ボックス 54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7922656" y="5075533"/>
          <a:ext cx="1046251" cy="9425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とんぺ</a:t>
          </a:r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い取り込み</a:t>
          </a:r>
          <a:r>
            <a:rPr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_</a:t>
          </a:r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イレギュラー</a:t>
          </a:r>
          <a:endParaRPr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lang="ja-JP" altLang="en-US" sz="700">
              <a:latin typeface="メイリオ" panose="020B0604030504040204" pitchFamily="50" charset="-128"/>
              <a:ea typeface="メイリオ" panose="020B0604030504040204" pitchFamily="50" charset="-128"/>
            </a:rPr>
            <a:t>③料率申請シート</a:t>
          </a:r>
          <a:endParaRPr lang="en-US" altLang="ja-JP" sz="7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38</xdr:col>
      <xdr:colOff>130179</xdr:colOff>
      <xdr:row>27</xdr:row>
      <xdr:rowOff>14498</xdr:rowOff>
    </xdr:from>
    <xdr:to>
      <xdr:col>42</xdr:col>
      <xdr:colOff>223930</xdr:colOff>
      <xdr:row>31</xdr:row>
      <xdr:rowOff>20016</xdr:rowOff>
    </xdr:to>
    <xdr:sp macro="" textlink="">
      <xdr:nvSpPr>
        <xdr:cNvPr id="95" name="テキスト ボックス 5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9178929" y="5329448"/>
          <a:ext cx="1046251" cy="7675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手数料インセンティブ一覧反映→広報</a:t>
          </a:r>
          <a:endParaRPr lang="en-US" altLang="ja-JP" sz="7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111821</xdr:colOff>
      <xdr:row>19</xdr:row>
      <xdr:rowOff>3861</xdr:rowOff>
    </xdr:from>
    <xdr:to>
      <xdr:col>37</xdr:col>
      <xdr:colOff>77678</xdr:colOff>
      <xdr:row>24</xdr:row>
      <xdr:rowOff>43940</xdr:rowOff>
    </xdr:to>
    <xdr:sp macro="" textlink="">
      <xdr:nvSpPr>
        <xdr:cNvPr id="96" name="テキスト ボックス 56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/>
      </xdr:nvSpPr>
      <xdr:spPr>
        <a:xfrm>
          <a:off x="7969946" y="3794811"/>
          <a:ext cx="918357" cy="9925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料率申請シート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とんぺい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取り込み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38</xdr:col>
      <xdr:colOff>130179</xdr:colOff>
      <xdr:row>19</xdr:row>
      <xdr:rowOff>41961</xdr:rowOff>
    </xdr:from>
    <xdr:to>
      <xdr:col>42</xdr:col>
      <xdr:colOff>223930</xdr:colOff>
      <xdr:row>23</xdr:row>
      <xdr:rowOff>47479</xdr:rowOff>
    </xdr:to>
    <xdr:sp macro="" textlink="">
      <xdr:nvSpPr>
        <xdr:cNvPr id="97" name="テキスト ボックス 57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9178929" y="3832911"/>
          <a:ext cx="1046251" cy="7675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手数料インセンティブ一覧反映→広報</a:t>
          </a:r>
          <a:endParaRPr lang="en-US" altLang="ja-JP" sz="7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86882</xdr:colOff>
      <xdr:row>24</xdr:row>
      <xdr:rowOff>161747</xdr:rowOff>
    </xdr:from>
    <xdr:to>
      <xdr:col>32</xdr:col>
      <xdr:colOff>170896</xdr:colOff>
      <xdr:row>32</xdr:row>
      <xdr:rowOff>72080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 bwMode="auto">
        <a:xfrm>
          <a:off x="6516257" y="4848047"/>
          <a:ext cx="1274639" cy="1434333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/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19050</xdr:colOff>
      <xdr:row>1</xdr:row>
      <xdr:rowOff>114300</xdr:rowOff>
    </xdr:from>
    <xdr:to>
      <xdr:col>18</xdr:col>
      <xdr:colOff>66675</xdr:colOff>
      <xdr:row>4</xdr:row>
      <xdr:rowOff>104775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638425" y="476250"/>
          <a:ext cx="1714500" cy="561975"/>
        </a:xfrm>
        <a:prstGeom prst="wedgeRoundRectCallout">
          <a:avLst>
            <a:gd name="adj1" fmla="val -125349"/>
            <a:gd name="adj2" fmla="val -108687"/>
            <a:gd name="adj3" fmla="val 16667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ユーザー部門からの提供されたもので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OK</a:t>
          </a:r>
          <a:endParaRPr lang="ja-JP" altLang="ja-JP">
            <a:solidFill>
              <a:srgbClr val="FF0000"/>
            </a:solidFill>
            <a:effectLst/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161925</xdr:rowOff>
    </xdr:from>
    <xdr:to>
      <xdr:col>31</xdr:col>
      <xdr:colOff>85012</xdr:colOff>
      <xdr:row>21</xdr:row>
      <xdr:rowOff>94830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962025"/>
          <a:ext cx="5704762" cy="3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87674BE-22DC-41A2-B323-9BA0DCF98679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F041CD4-2F34-3625-A6B3-2AE6A8F2C676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6" name="フローチャート: データ 5">
            <a:extLst>
              <a:ext uri="{FF2B5EF4-FFF2-40B4-BE49-F238E27FC236}">
                <a16:creationId xmlns:a16="http://schemas.microsoft.com/office/drawing/2014/main" id="{2C6E7BF8-2003-AE52-4938-43E2810C670A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7" name="フローチャート: 内部記憶 6">
            <a:extLst>
              <a:ext uri="{FF2B5EF4-FFF2-40B4-BE49-F238E27FC236}">
                <a16:creationId xmlns:a16="http://schemas.microsoft.com/office/drawing/2014/main" id="{925AB206-0F7F-0620-7E8D-D1305670E13D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1 つの角を切り取った四角形 50">
            <a:extLst>
              <a:ext uri="{FF2B5EF4-FFF2-40B4-BE49-F238E27FC236}">
                <a16:creationId xmlns:a16="http://schemas.microsoft.com/office/drawing/2014/main" id="{77CE44AB-7BC3-0BF2-3820-7FD56B080FA9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9" name="線吹き出し 1 51">
            <a:extLst>
              <a:ext uri="{FF2B5EF4-FFF2-40B4-BE49-F238E27FC236}">
                <a16:creationId xmlns:a16="http://schemas.microsoft.com/office/drawing/2014/main" id="{43582118-CA85-F1BF-37BF-D453A793D007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1" name="フローチャート: 磁気ディスク 10">
            <a:extLst>
              <a:ext uri="{FF2B5EF4-FFF2-40B4-BE49-F238E27FC236}">
                <a16:creationId xmlns:a16="http://schemas.microsoft.com/office/drawing/2014/main" id="{DDEC7736-B274-1E37-15E3-01254BA23421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フローチャート: 複数書類 11">
            <a:extLst>
              <a:ext uri="{FF2B5EF4-FFF2-40B4-BE49-F238E27FC236}">
                <a16:creationId xmlns:a16="http://schemas.microsoft.com/office/drawing/2014/main" id="{854FF56C-896A-EB2F-59B1-0C99A3E6895E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3" name="フローチャート: 判断 12">
            <a:extLst>
              <a:ext uri="{FF2B5EF4-FFF2-40B4-BE49-F238E27FC236}">
                <a16:creationId xmlns:a16="http://schemas.microsoft.com/office/drawing/2014/main" id="{8B73FBC1-FF66-11F4-2030-FD0FDB33AA2E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95528718-3EB7-26CB-9D4A-ED30100EF50A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E27F7CEF-E50D-73A7-E004-B0ED08F30EA3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5" name="カギ線コネクタ 61">
              <a:extLst>
                <a:ext uri="{FF2B5EF4-FFF2-40B4-BE49-F238E27FC236}">
                  <a16:creationId xmlns:a16="http://schemas.microsoft.com/office/drawing/2014/main" id="{D43D1F7F-EE37-C8D0-E649-D1C7BF23A001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E893EEF6-D437-8FE5-E8AE-775248FBDB03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C5C34B2E-C099-860B-35C4-BD620BA6A0C9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3" name="カギ線コネクタ 59">
              <a:extLst>
                <a:ext uri="{FF2B5EF4-FFF2-40B4-BE49-F238E27FC236}">
                  <a16:creationId xmlns:a16="http://schemas.microsoft.com/office/drawing/2014/main" id="{47C4BD26-B59B-DE10-ECEC-A7CDDB72EBE0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E93C2D2F-E26E-0E88-0C3C-09315CDD7D3B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7" name="フローチャート: 手操作入力 16">
            <a:extLst>
              <a:ext uri="{FF2B5EF4-FFF2-40B4-BE49-F238E27FC236}">
                <a16:creationId xmlns:a16="http://schemas.microsoft.com/office/drawing/2014/main" id="{E4D9FA2E-708F-00C8-9EFD-DA6474A4F489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8" name="フローチャート: 端子 17">
            <a:extLst>
              <a:ext uri="{FF2B5EF4-FFF2-40B4-BE49-F238E27FC236}">
                <a16:creationId xmlns:a16="http://schemas.microsoft.com/office/drawing/2014/main" id="{DDA70305-B515-4E82-660D-72C136DF9E80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C1D8F90C-E94C-ED40-E1B3-665E494E6D34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21" name="片側の 2 つの角を切り取った四角形 152">
              <a:extLst>
                <a:ext uri="{FF2B5EF4-FFF2-40B4-BE49-F238E27FC236}">
                  <a16:creationId xmlns:a16="http://schemas.microsoft.com/office/drawing/2014/main" id="{B9328B92-6B84-4630-6DBA-A1BD02375FE2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22" name="片側の 2 つの角を切り取った四角形 153">
              <a:extLst>
                <a:ext uri="{FF2B5EF4-FFF2-40B4-BE49-F238E27FC236}">
                  <a16:creationId xmlns:a16="http://schemas.microsoft.com/office/drawing/2014/main" id="{89A15B09-6A34-0111-BCCE-8DC0EA7F1C50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20" name="フローチャート: 書類 19">
            <a:extLst>
              <a:ext uri="{FF2B5EF4-FFF2-40B4-BE49-F238E27FC236}">
                <a16:creationId xmlns:a16="http://schemas.microsoft.com/office/drawing/2014/main" id="{41AE5D8A-52E1-8E75-4769-DC028E52947E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>
    <xdr:from>
      <xdr:col>12</xdr:col>
      <xdr:colOff>109536</xdr:colOff>
      <xdr:row>142</xdr:row>
      <xdr:rowOff>28575</xdr:rowOff>
    </xdr:from>
    <xdr:to>
      <xdr:col>28</xdr:col>
      <xdr:colOff>35136</xdr:colOff>
      <xdr:row>143</xdr:row>
      <xdr:rowOff>123824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DCF8D5F-707F-4A88-AA55-E0BAFFF5770A}"/>
            </a:ext>
          </a:extLst>
        </xdr:cNvPr>
        <xdr:cNvSpPr/>
      </xdr:nvSpPr>
      <xdr:spPr>
        <a:xfrm>
          <a:off x="2395536" y="28013025"/>
          <a:ext cx="2973600" cy="285749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出力した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ファイルを再度開く</a:t>
          </a:r>
        </a:p>
      </xdr:txBody>
    </xdr:sp>
    <xdr:clientData/>
  </xdr:twoCellAnchor>
  <xdr:twoCellAnchor>
    <xdr:from>
      <xdr:col>20</xdr:col>
      <xdr:colOff>72336</xdr:colOff>
      <xdr:row>133</xdr:row>
      <xdr:rowOff>153427</xdr:rowOff>
    </xdr:from>
    <xdr:to>
      <xdr:col>44</xdr:col>
      <xdr:colOff>9524</xdr:colOff>
      <xdr:row>148</xdr:row>
      <xdr:rowOff>86925</xdr:rowOff>
    </xdr:to>
    <xdr:cxnSp macro="">
      <xdr:nvCxnSpPr>
        <xdr:cNvPr id="4" name="カギ線コネクタ 59">
          <a:extLst>
            <a:ext uri="{FF2B5EF4-FFF2-40B4-BE49-F238E27FC236}">
              <a16:creationId xmlns:a16="http://schemas.microsoft.com/office/drawing/2014/main" id="{D6929F69-E558-4A3E-A3B3-829EA5289980}"/>
            </a:ext>
          </a:extLst>
        </xdr:cNvPr>
        <xdr:cNvCxnSpPr>
          <a:stCxn id="163" idx="2"/>
          <a:endCxn id="159" idx="2"/>
        </xdr:cNvCxnSpPr>
      </xdr:nvCxnSpPr>
      <xdr:spPr>
        <a:xfrm rot="5400000" flipH="1" flipV="1">
          <a:off x="4741431" y="25564282"/>
          <a:ext cx="2790998" cy="4509188"/>
        </a:xfrm>
        <a:prstGeom prst="bentConnector3">
          <a:avLst>
            <a:gd name="adj1" fmla="val -8191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11</xdr:row>
      <xdr:rowOff>3175</xdr:rowOff>
    </xdr:from>
    <xdr:to>
      <xdr:col>12</xdr:col>
      <xdr:colOff>3175</xdr:colOff>
      <xdr:row>15</xdr:row>
      <xdr:rowOff>136525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E16502A3-D6E2-4D6A-BEB2-74C7E0896C4C}"/>
            </a:ext>
          </a:extLst>
        </xdr:cNvPr>
        <xdr:cNvGrpSpPr/>
      </xdr:nvGrpSpPr>
      <xdr:grpSpPr>
        <a:xfrm>
          <a:off x="790575" y="2270125"/>
          <a:ext cx="1498600" cy="895350"/>
          <a:chOff x="2247901" y="10233025"/>
          <a:chExt cx="1520825" cy="892175"/>
        </a:xfrm>
      </xdr:grpSpPr>
      <xdr:sp macro="" textlink="">
        <xdr:nvSpPr>
          <xdr:cNvPr id="27" name="1 つの角を切り取った四角形 50">
            <a:extLst>
              <a:ext uri="{FF2B5EF4-FFF2-40B4-BE49-F238E27FC236}">
                <a16:creationId xmlns:a16="http://schemas.microsoft.com/office/drawing/2014/main" id="{39568777-32F8-E1EB-493D-1EBCD03D9969}"/>
              </a:ext>
            </a:extLst>
          </xdr:cNvPr>
          <xdr:cNvSpPr/>
        </xdr:nvSpPr>
        <xdr:spPr>
          <a:xfrm>
            <a:off x="2247901" y="10233025"/>
            <a:ext cx="1520825" cy="892175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 w="127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Downloads</a:t>
            </a:r>
          </a:p>
        </xdr:txBody>
      </xdr:sp>
      <xdr:sp macro="" textlink="">
        <xdr:nvSpPr>
          <xdr:cNvPr id="28" name="フローチャート: 書類 27">
            <a:extLst>
              <a:ext uri="{FF2B5EF4-FFF2-40B4-BE49-F238E27FC236}">
                <a16:creationId xmlns:a16="http://schemas.microsoft.com/office/drawing/2014/main" id="{8F5304E5-73AD-0B16-10C7-0E5050BA7485}"/>
              </a:ext>
            </a:extLst>
          </xdr:cNvPr>
          <xdr:cNvSpPr/>
        </xdr:nvSpPr>
        <xdr:spPr>
          <a:xfrm>
            <a:off x="2336800" y="10325100"/>
            <a:ext cx="1181100" cy="6064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 w="127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CL</a:t>
            </a:r>
            <a:r>
              <a:rPr kumimoji="1" lang="ja-JP" altLang="en-US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向け案件アラート表一覧</a:t>
            </a:r>
            <a:r>
              <a:rPr kumimoji="1" lang="en-US" altLang="ja-JP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.csv</a:t>
            </a:r>
          </a:p>
        </xdr:txBody>
      </xdr:sp>
    </xdr:grpSp>
    <xdr:clientData/>
  </xdr:twoCellAnchor>
  <xdr:twoCellAnchor>
    <xdr:from>
      <xdr:col>13</xdr:col>
      <xdr:colOff>170761</xdr:colOff>
      <xdr:row>21</xdr:row>
      <xdr:rowOff>136524</xdr:rowOff>
    </xdr:from>
    <xdr:to>
      <xdr:col>26</xdr:col>
      <xdr:colOff>164411</xdr:colOff>
      <xdr:row>26</xdr:row>
      <xdr:rowOff>138024</xdr:rowOff>
    </xdr:to>
    <xdr:sp macro="" textlink="">
      <xdr:nvSpPr>
        <xdr:cNvPr id="29" name="フローチャート: 判断 28">
          <a:extLst>
            <a:ext uri="{FF2B5EF4-FFF2-40B4-BE49-F238E27FC236}">
              <a16:creationId xmlns:a16="http://schemas.microsoft.com/office/drawing/2014/main" id="{BDABF26B-EB97-4570-A6CA-17CD3DB6871C}"/>
            </a:ext>
          </a:extLst>
        </xdr:cNvPr>
        <xdr:cNvSpPr/>
      </xdr:nvSpPr>
      <xdr:spPr>
        <a:xfrm>
          <a:off x="2647261" y="4308474"/>
          <a:ext cx="2470150" cy="954000"/>
        </a:xfrm>
        <a:prstGeom prst="flowChartDecision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データが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件以上ある</a:t>
          </a:r>
        </a:p>
      </xdr:txBody>
    </xdr:sp>
    <xdr:clientData/>
  </xdr:twoCellAnchor>
  <xdr:twoCellAnchor>
    <xdr:from>
      <xdr:col>15</xdr:col>
      <xdr:colOff>22236</xdr:colOff>
      <xdr:row>7</xdr:row>
      <xdr:rowOff>95250</xdr:rowOff>
    </xdr:from>
    <xdr:to>
      <xdr:col>25</xdr:col>
      <xdr:colOff>122436</xdr:colOff>
      <xdr:row>9</xdr:row>
      <xdr:rowOff>120650</xdr:rowOff>
    </xdr:to>
    <xdr:sp macro="" textlink="">
      <xdr:nvSpPr>
        <xdr:cNvPr id="30" name="フローチャート: 手操作入力 29">
          <a:extLst>
            <a:ext uri="{FF2B5EF4-FFF2-40B4-BE49-F238E27FC236}">
              <a16:creationId xmlns:a16="http://schemas.microsoft.com/office/drawing/2014/main" id="{92304CDD-2251-48FA-820D-13655DC33997}"/>
            </a:ext>
          </a:extLst>
        </xdr:cNvPr>
        <xdr:cNvSpPr/>
      </xdr:nvSpPr>
      <xdr:spPr>
        <a:xfrm>
          <a:off x="2879736" y="1600200"/>
          <a:ext cx="2005200" cy="406400"/>
        </a:xfrm>
        <a:prstGeom prst="flowChartManualInpu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exe</a:t>
          </a:r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実行</a:t>
          </a:r>
        </a:p>
      </xdr:txBody>
    </xdr:sp>
    <xdr:clientData/>
  </xdr:twoCellAnchor>
  <xdr:twoCellAnchor>
    <xdr:from>
      <xdr:col>15</xdr:col>
      <xdr:colOff>21536</xdr:colOff>
      <xdr:row>12</xdr:row>
      <xdr:rowOff>9525</xdr:rowOff>
    </xdr:from>
    <xdr:to>
      <xdr:col>25</xdr:col>
      <xdr:colOff>123136</xdr:colOff>
      <xdr:row>14</xdr:row>
      <xdr:rowOff>35325</xdr:rowOff>
    </xdr:to>
    <xdr:sp macro="" textlink="">
      <xdr:nvSpPr>
        <xdr:cNvPr id="31" name="フローチャート: 手操作入力 30">
          <a:extLst>
            <a:ext uri="{FF2B5EF4-FFF2-40B4-BE49-F238E27FC236}">
              <a16:creationId xmlns:a16="http://schemas.microsoft.com/office/drawing/2014/main" id="{182A131C-0FBF-4C40-A77D-3D3E9CAE71C4}"/>
            </a:ext>
          </a:extLst>
        </xdr:cNvPr>
        <xdr:cNvSpPr/>
      </xdr:nvSpPr>
      <xdr:spPr>
        <a:xfrm>
          <a:off x="2879036" y="2466975"/>
          <a:ext cx="2006600" cy="406800"/>
        </a:xfrm>
        <a:prstGeom prst="flowChartManualInpu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ファイル選択ダイアログで</a:t>
          </a:r>
          <a:r>
            <a:rPr kumimoji="1"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取込</a:t>
          </a:r>
        </a:p>
      </xdr:txBody>
    </xdr:sp>
    <xdr:clientData/>
  </xdr:twoCellAnchor>
  <xdr:twoCellAnchor>
    <xdr:from>
      <xdr:col>30</xdr:col>
      <xdr:colOff>72862</xdr:colOff>
      <xdr:row>23</xdr:row>
      <xdr:rowOff>67424</xdr:rowOff>
    </xdr:from>
    <xdr:to>
      <xdr:col>36</xdr:col>
      <xdr:colOff>56987</xdr:colOff>
      <xdr:row>25</xdr:row>
      <xdr:rowOff>16624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6CBDCB9-1F4A-4C44-AFC2-4314BC204416}"/>
            </a:ext>
          </a:extLst>
        </xdr:cNvPr>
        <xdr:cNvSpPr/>
      </xdr:nvSpPr>
      <xdr:spPr>
        <a:xfrm>
          <a:off x="5787862" y="4620374"/>
          <a:ext cx="1127125" cy="3302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メッセージで終了</a:t>
          </a:r>
        </a:p>
      </xdr:txBody>
    </xdr:sp>
    <xdr:clientData/>
  </xdr:twoCellAnchor>
  <xdr:twoCellAnchor>
    <xdr:from>
      <xdr:col>19</xdr:col>
      <xdr:colOff>56461</xdr:colOff>
      <xdr:row>26</xdr:row>
      <xdr:rowOff>95251</xdr:rowOff>
    </xdr:from>
    <xdr:to>
      <xdr:col>21</xdr:col>
      <xdr:colOff>88211</xdr:colOff>
      <xdr:row>27</xdr:row>
      <xdr:rowOff>139700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14D8106-7262-458C-AF7D-EEB5E04B7A68}"/>
            </a:ext>
          </a:extLst>
        </xdr:cNvPr>
        <xdr:cNvSpPr/>
      </xdr:nvSpPr>
      <xdr:spPr>
        <a:xfrm flipH="1">
          <a:off x="3675961" y="5219701"/>
          <a:ext cx="412750" cy="234949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66674</xdr:colOff>
      <xdr:row>23</xdr:row>
      <xdr:rowOff>110287</xdr:rowOff>
    </xdr:from>
    <xdr:to>
      <xdr:col>28</xdr:col>
      <xdr:colOff>98424</xdr:colOff>
      <xdr:row>24</xdr:row>
      <xdr:rowOff>164261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C6EDFCAB-0DA1-48A2-9C0C-9743DCD7A20E}"/>
            </a:ext>
          </a:extLst>
        </xdr:cNvPr>
        <xdr:cNvSpPr/>
      </xdr:nvSpPr>
      <xdr:spPr>
        <a:xfrm flipH="1">
          <a:off x="5019674" y="4663237"/>
          <a:ext cx="412750" cy="244474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119061</xdr:colOff>
      <xdr:row>38</xdr:row>
      <xdr:rowOff>9523</xdr:rowOff>
    </xdr:from>
    <xdr:to>
      <xdr:col>28</xdr:col>
      <xdr:colOff>44661</xdr:colOff>
      <xdr:row>41</xdr:row>
      <xdr:rowOff>152400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480EE61-C215-42DB-83CB-BBB752B6E382}"/>
            </a:ext>
          </a:extLst>
        </xdr:cNvPr>
        <xdr:cNvSpPr/>
      </xdr:nvSpPr>
      <xdr:spPr>
        <a:xfrm>
          <a:off x="2405061" y="6848473"/>
          <a:ext cx="2973600" cy="714377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日付列の型を文字列→日付に変換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一部は列追加、一部は上書き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列名べた書き</a:t>
          </a:r>
        </a:p>
      </xdr:txBody>
    </xdr:sp>
    <xdr:clientData/>
  </xdr:twoCellAnchor>
  <xdr:twoCellAnchor>
    <xdr:from>
      <xdr:col>12</xdr:col>
      <xdr:colOff>109536</xdr:colOff>
      <xdr:row>17</xdr:row>
      <xdr:rowOff>47625</xdr:rowOff>
    </xdr:from>
    <xdr:to>
      <xdr:col>28</xdr:col>
      <xdr:colOff>35136</xdr:colOff>
      <xdr:row>18</xdr:row>
      <xdr:rowOff>161925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79DBC52-B224-48E0-A01B-FA283F921561}"/>
            </a:ext>
          </a:extLst>
        </xdr:cNvPr>
        <xdr:cNvSpPr/>
      </xdr:nvSpPr>
      <xdr:spPr>
        <a:xfrm>
          <a:off x="2395536" y="3457575"/>
          <a:ext cx="2973600" cy="3048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object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型（文字列）の列に対して前後の空白を削除</a:t>
          </a:r>
        </a:p>
      </xdr:txBody>
    </xdr:sp>
    <xdr:clientData/>
  </xdr:twoCellAnchor>
  <xdr:twoCellAnchor>
    <xdr:from>
      <xdr:col>12</xdr:col>
      <xdr:colOff>109536</xdr:colOff>
      <xdr:row>57</xdr:row>
      <xdr:rowOff>180975</xdr:rowOff>
    </xdr:from>
    <xdr:to>
      <xdr:col>28</xdr:col>
      <xdr:colOff>35136</xdr:colOff>
      <xdr:row>60</xdr:row>
      <xdr:rowOff>180975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2720EE8E-D7F0-4E83-955A-57A288B098F5}"/>
            </a:ext>
          </a:extLst>
        </xdr:cNvPr>
        <xdr:cNvSpPr/>
      </xdr:nvSpPr>
      <xdr:spPr>
        <a:xfrm>
          <a:off x="2395536" y="10639425"/>
          <a:ext cx="2973600" cy="5715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①条件列追加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②条件に一致したら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、不一致の場合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FALSE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を挿入</a:t>
          </a:r>
        </a:p>
      </xdr:txBody>
    </xdr:sp>
    <xdr:clientData/>
  </xdr:twoCellAnchor>
  <xdr:twoCellAnchor>
    <xdr:from>
      <xdr:col>24</xdr:col>
      <xdr:colOff>6348</xdr:colOff>
      <xdr:row>13</xdr:row>
      <xdr:rowOff>60325</xdr:rowOff>
    </xdr:from>
    <xdr:to>
      <xdr:col>29</xdr:col>
      <xdr:colOff>31748</xdr:colOff>
      <xdr:row>14</xdr:row>
      <xdr:rowOff>176352</xdr:rowOff>
    </xdr:to>
    <xdr:sp macro="" textlink="">
      <xdr:nvSpPr>
        <xdr:cNvPr id="38" name="フローチャート: データ 37">
          <a:extLst>
            <a:ext uri="{FF2B5EF4-FFF2-40B4-BE49-F238E27FC236}">
              <a16:creationId xmlns:a16="http://schemas.microsoft.com/office/drawing/2014/main" id="{9205E41C-D41A-4113-B5FF-316D84D09CA5}"/>
            </a:ext>
          </a:extLst>
        </xdr:cNvPr>
        <xdr:cNvSpPr/>
      </xdr:nvSpPr>
      <xdr:spPr>
        <a:xfrm>
          <a:off x="4578348" y="2708275"/>
          <a:ext cx="977900" cy="306527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65987</xdr:colOff>
      <xdr:row>9</xdr:row>
      <xdr:rowOff>126999</xdr:rowOff>
    </xdr:from>
    <xdr:to>
      <xdr:col>20</xdr:col>
      <xdr:colOff>78687</xdr:colOff>
      <xdr:row>12</xdr:row>
      <xdr:rowOff>56554</xdr:rowOff>
    </xdr:to>
    <xdr:cxnSp macro="">
      <xdr:nvCxnSpPr>
        <xdr:cNvPr id="39" name="カギ線コネクタ 61">
          <a:extLst>
            <a:ext uri="{FF2B5EF4-FFF2-40B4-BE49-F238E27FC236}">
              <a16:creationId xmlns:a16="http://schemas.microsoft.com/office/drawing/2014/main" id="{71623B24-5B21-4712-B09F-F92FD657BF1D}"/>
            </a:ext>
          </a:extLst>
        </xdr:cNvPr>
        <xdr:cNvCxnSpPr>
          <a:stCxn id="30" idx="2"/>
          <a:endCxn id="31" idx="0"/>
        </xdr:cNvCxnSpPr>
      </xdr:nvCxnSpPr>
      <xdr:spPr>
        <a:xfrm rot="5400000">
          <a:off x="3631809" y="2257127"/>
          <a:ext cx="50105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65986</xdr:colOff>
      <xdr:row>14</xdr:row>
      <xdr:rowOff>41675</xdr:rowOff>
    </xdr:from>
    <xdr:to>
      <xdr:col>20</xdr:col>
      <xdr:colOff>78686</xdr:colOff>
      <xdr:row>17</xdr:row>
      <xdr:rowOff>53975</xdr:rowOff>
    </xdr:to>
    <xdr:cxnSp macro="">
      <xdr:nvCxnSpPr>
        <xdr:cNvPr id="40" name="カギ線コネクタ 61">
          <a:extLst>
            <a:ext uri="{FF2B5EF4-FFF2-40B4-BE49-F238E27FC236}">
              <a16:creationId xmlns:a16="http://schemas.microsoft.com/office/drawing/2014/main" id="{367563E7-23FB-44A2-9475-2FE3FBC4265D}"/>
            </a:ext>
          </a:extLst>
        </xdr:cNvPr>
        <xdr:cNvCxnSpPr>
          <a:stCxn id="31" idx="2"/>
          <a:endCxn id="36" idx="0"/>
        </xdr:cNvCxnSpPr>
      </xdr:nvCxnSpPr>
      <xdr:spPr>
        <a:xfrm rot="5400000">
          <a:off x="3590436" y="3165675"/>
          <a:ext cx="58380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18</xdr:row>
      <xdr:rowOff>168274</xdr:rowOff>
    </xdr:from>
    <xdr:to>
      <xdr:col>20</xdr:col>
      <xdr:colOff>78687</xdr:colOff>
      <xdr:row>21</xdr:row>
      <xdr:rowOff>142873</xdr:rowOff>
    </xdr:to>
    <xdr:cxnSp macro="">
      <xdr:nvCxnSpPr>
        <xdr:cNvPr id="41" name="カギ線コネクタ 61">
          <a:extLst>
            <a:ext uri="{FF2B5EF4-FFF2-40B4-BE49-F238E27FC236}">
              <a16:creationId xmlns:a16="http://schemas.microsoft.com/office/drawing/2014/main" id="{EC40C9F4-A3B9-4FCE-93E4-FE18A8BF7717}"/>
            </a:ext>
          </a:extLst>
        </xdr:cNvPr>
        <xdr:cNvCxnSpPr>
          <a:stCxn id="36" idx="2"/>
          <a:endCxn id="29" idx="0"/>
        </xdr:cNvCxnSpPr>
      </xdr:nvCxnSpPr>
      <xdr:spPr>
        <a:xfrm rot="5400000">
          <a:off x="3609287" y="4035424"/>
          <a:ext cx="546099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98424</xdr:colOff>
      <xdr:row>24</xdr:row>
      <xdr:rowOff>42024</xdr:rowOff>
    </xdr:from>
    <xdr:to>
      <xdr:col>30</xdr:col>
      <xdr:colOff>72862</xdr:colOff>
      <xdr:row>24</xdr:row>
      <xdr:rowOff>54724</xdr:rowOff>
    </xdr:to>
    <xdr:cxnSp macro="">
      <xdr:nvCxnSpPr>
        <xdr:cNvPr id="42" name="カギ線コネクタ 61">
          <a:extLst>
            <a:ext uri="{FF2B5EF4-FFF2-40B4-BE49-F238E27FC236}">
              <a16:creationId xmlns:a16="http://schemas.microsoft.com/office/drawing/2014/main" id="{CABB9FEF-D67B-4C5F-BD27-A9B493E2E4FC}"/>
            </a:ext>
          </a:extLst>
        </xdr:cNvPr>
        <xdr:cNvCxnSpPr>
          <a:stCxn id="34" idx="1"/>
          <a:endCxn id="32" idx="1"/>
        </xdr:cNvCxnSpPr>
      </xdr:nvCxnSpPr>
      <xdr:spPr>
        <a:xfrm>
          <a:off x="5432424" y="4785474"/>
          <a:ext cx="355438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72336</xdr:colOff>
      <xdr:row>27</xdr:row>
      <xdr:rowOff>139699</xdr:rowOff>
    </xdr:from>
    <xdr:to>
      <xdr:col>20</xdr:col>
      <xdr:colOff>81861</xdr:colOff>
      <xdr:row>38</xdr:row>
      <xdr:rowOff>9522</xdr:rowOff>
    </xdr:to>
    <xdr:cxnSp macro="">
      <xdr:nvCxnSpPr>
        <xdr:cNvPr id="43" name="カギ線コネクタ 61">
          <a:extLst>
            <a:ext uri="{FF2B5EF4-FFF2-40B4-BE49-F238E27FC236}">
              <a16:creationId xmlns:a16="http://schemas.microsoft.com/office/drawing/2014/main" id="{01CE1CB5-0C2E-4F7D-BCE1-336FBA263435}"/>
            </a:ext>
          </a:extLst>
        </xdr:cNvPr>
        <xdr:cNvCxnSpPr>
          <a:stCxn id="33" idx="2"/>
          <a:endCxn id="35" idx="0"/>
        </xdr:cNvCxnSpPr>
      </xdr:nvCxnSpPr>
      <xdr:spPr>
        <a:xfrm rot="16200000" flipH="1">
          <a:off x="2904437" y="6432548"/>
          <a:ext cx="1965323" cy="95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72337</xdr:colOff>
      <xdr:row>41</xdr:row>
      <xdr:rowOff>152400</xdr:rowOff>
    </xdr:from>
    <xdr:to>
      <xdr:col>20</xdr:col>
      <xdr:colOff>81862</xdr:colOff>
      <xdr:row>57</xdr:row>
      <xdr:rowOff>180975</xdr:rowOff>
    </xdr:to>
    <xdr:cxnSp macro="">
      <xdr:nvCxnSpPr>
        <xdr:cNvPr id="44" name="カギ線コネクタ 61">
          <a:extLst>
            <a:ext uri="{FF2B5EF4-FFF2-40B4-BE49-F238E27FC236}">
              <a16:creationId xmlns:a16="http://schemas.microsoft.com/office/drawing/2014/main" id="{379F4AEE-9D66-4932-B07C-3D2C51121477}"/>
            </a:ext>
          </a:extLst>
        </xdr:cNvPr>
        <xdr:cNvCxnSpPr>
          <a:cxnSpLocks/>
          <a:stCxn id="35" idx="2"/>
          <a:endCxn id="37" idx="0"/>
        </xdr:cNvCxnSpPr>
      </xdr:nvCxnSpPr>
      <xdr:spPr>
        <a:xfrm rot="5400000">
          <a:off x="2348812" y="9096375"/>
          <a:ext cx="3076575" cy="95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137015</xdr:colOff>
      <xdr:row>13</xdr:row>
      <xdr:rowOff>18870</xdr:rowOff>
    </xdr:from>
    <xdr:to>
      <xdr:col>15</xdr:col>
      <xdr:colOff>21536</xdr:colOff>
      <xdr:row>13</xdr:row>
      <xdr:rowOff>22425</xdr:rowOff>
    </xdr:to>
    <xdr:cxnSp macro="">
      <xdr:nvCxnSpPr>
        <xdr:cNvPr id="45" name="カギ線コネクタ 59">
          <a:extLst>
            <a:ext uri="{FF2B5EF4-FFF2-40B4-BE49-F238E27FC236}">
              <a16:creationId xmlns:a16="http://schemas.microsoft.com/office/drawing/2014/main" id="{19DA89F7-E91B-4B5D-A538-4F8AB66FBF85}"/>
            </a:ext>
          </a:extLst>
        </xdr:cNvPr>
        <xdr:cNvCxnSpPr>
          <a:stCxn id="28" idx="3"/>
          <a:endCxn id="31" idx="1"/>
        </xdr:cNvCxnSpPr>
      </xdr:nvCxnSpPr>
      <xdr:spPr>
        <a:xfrm>
          <a:off x="2042015" y="2666820"/>
          <a:ext cx="837021" cy="3555"/>
        </a:xfrm>
        <a:prstGeom prst="bentConnector3">
          <a:avLst>
            <a:gd name="adj1" fmla="val 50000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82550</xdr:colOff>
      <xdr:row>59</xdr:row>
      <xdr:rowOff>161925</xdr:rowOff>
    </xdr:from>
    <xdr:to>
      <xdr:col>36</xdr:col>
      <xdr:colOff>19049</xdr:colOff>
      <xdr:row>64</xdr:row>
      <xdr:rowOff>133350</xdr:rowOff>
    </xdr:to>
    <xdr:sp macro="" textlink="">
      <xdr:nvSpPr>
        <xdr:cNvPr id="46" name="フローチャート: データ 45">
          <a:extLst>
            <a:ext uri="{FF2B5EF4-FFF2-40B4-BE49-F238E27FC236}">
              <a16:creationId xmlns:a16="http://schemas.microsoft.com/office/drawing/2014/main" id="{37AA7FF9-D59C-423A-B723-2A8E5E4D2878}"/>
            </a:ext>
          </a:extLst>
        </xdr:cNvPr>
        <xdr:cNvSpPr/>
      </xdr:nvSpPr>
      <xdr:spPr>
        <a:xfrm>
          <a:off x="4845050" y="11001375"/>
          <a:ext cx="2031999" cy="923925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反響種別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来場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資料請求日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_30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日前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ご商談状況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契約済み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ご商談状況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_not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契約済み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ご商談状況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見積・仮契約</a:t>
          </a:r>
          <a:endParaRPr kumimoji="1" lang="en-US" altLang="ja-JP" sz="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・・・</a:t>
          </a:r>
          <a:endParaRPr kumimoji="1" lang="en-US" altLang="ja-JP" sz="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65987</xdr:colOff>
      <xdr:row>60</xdr:row>
      <xdr:rowOff>187324</xdr:rowOff>
    </xdr:from>
    <xdr:to>
      <xdr:col>20</xdr:col>
      <xdr:colOff>78687</xdr:colOff>
      <xdr:row>67</xdr:row>
      <xdr:rowOff>82549</xdr:rowOff>
    </xdr:to>
    <xdr:cxnSp macro="">
      <xdr:nvCxnSpPr>
        <xdr:cNvPr id="47" name="カギ線コネクタ 61">
          <a:extLst>
            <a:ext uri="{FF2B5EF4-FFF2-40B4-BE49-F238E27FC236}">
              <a16:creationId xmlns:a16="http://schemas.microsoft.com/office/drawing/2014/main" id="{B6725D8C-F47C-4BAE-8980-807C42FED87E}"/>
            </a:ext>
          </a:extLst>
        </xdr:cNvPr>
        <xdr:cNvCxnSpPr>
          <a:stCxn id="37" idx="2"/>
          <a:endCxn id="48" idx="0"/>
        </xdr:cNvCxnSpPr>
      </xdr:nvCxnSpPr>
      <xdr:spPr>
        <a:xfrm rot="5400000">
          <a:off x="3267974" y="11825287"/>
          <a:ext cx="122872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109536</xdr:colOff>
      <xdr:row>67</xdr:row>
      <xdr:rowOff>76200</xdr:rowOff>
    </xdr:from>
    <xdr:to>
      <xdr:col>28</xdr:col>
      <xdr:colOff>35136</xdr:colOff>
      <xdr:row>70</xdr:row>
      <xdr:rowOff>76200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906F4FE4-51E8-4C37-BD10-214257C3ECC6}"/>
            </a:ext>
          </a:extLst>
        </xdr:cNvPr>
        <xdr:cNvSpPr/>
      </xdr:nvSpPr>
      <xdr:spPr>
        <a:xfrm>
          <a:off x="2395536" y="12439650"/>
          <a:ext cx="2973600" cy="5715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①区分列追加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②条件に一致したら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、不一致の場合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FALSE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を挿入</a:t>
          </a:r>
        </a:p>
      </xdr:txBody>
    </xdr:sp>
    <xdr:clientData/>
  </xdr:twoCellAnchor>
  <xdr:twoCellAnchor>
    <xdr:from>
      <xdr:col>25</xdr:col>
      <xdr:colOff>168276</xdr:colOff>
      <xdr:row>69</xdr:row>
      <xdr:rowOff>120651</xdr:rowOff>
    </xdr:from>
    <xdr:to>
      <xdr:col>34</xdr:col>
      <xdr:colOff>57150</xdr:colOff>
      <xdr:row>74</xdr:row>
      <xdr:rowOff>123825</xdr:rowOff>
    </xdr:to>
    <xdr:sp macro="" textlink="">
      <xdr:nvSpPr>
        <xdr:cNvPr id="49" name="フローチャート: データ 48">
          <a:extLst>
            <a:ext uri="{FF2B5EF4-FFF2-40B4-BE49-F238E27FC236}">
              <a16:creationId xmlns:a16="http://schemas.microsoft.com/office/drawing/2014/main" id="{878F83E6-5594-4499-9569-25917A0353CD}"/>
            </a:ext>
          </a:extLst>
        </xdr:cNvPr>
        <xdr:cNvSpPr/>
      </xdr:nvSpPr>
      <xdr:spPr>
        <a:xfrm>
          <a:off x="4930776" y="12865101"/>
          <a:ext cx="1603374" cy="955674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_1']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_2']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_3']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_4']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_5']</a:t>
          </a:r>
        </a:p>
        <a:p>
          <a:pPr algn="l"/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・・・</a:t>
          </a:r>
          <a:endParaRPr kumimoji="1" lang="en-US" altLang="ja-JP" sz="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77</xdr:row>
      <xdr:rowOff>152401</xdr:rowOff>
    </xdr:from>
    <xdr:to>
      <xdr:col>28</xdr:col>
      <xdr:colOff>35136</xdr:colOff>
      <xdr:row>80</xdr:row>
      <xdr:rowOff>152401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BCA229F-CDCA-4DCB-B2DE-CC37282DFA9B}"/>
            </a:ext>
          </a:extLst>
        </xdr:cNvPr>
        <xdr:cNvSpPr/>
      </xdr:nvSpPr>
      <xdr:spPr>
        <a:xfrm>
          <a:off x="2395536" y="15944851"/>
          <a:ext cx="2973600" cy="5715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になっている最初の区分の「列名」を挿入</a:t>
          </a:r>
        </a:p>
      </xdr:txBody>
    </xdr:sp>
    <xdr:clientData/>
  </xdr:twoCellAnchor>
  <xdr:twoCellAnchor>
    <xdr:from>
      <xdr:col>24</xdr:col>
      <xdr:colOff>161924</xdr:colOff>
      <xdr:row>80</xdr:row>
      <xdr:rowOff>47626</xdr:rowOff>
    </xdr:from>
    <xdr:to>
      <xdr:col>34</xdr:col>
      <xdr:colOff>171449</xdr:colOff>
      <xdr:row>82</xdr:row>
      <xdr:rowOff>95250</xdr:rowOff>
    </xdr:to>
    <xdr:sp macro="" textlink="">
      <xdr:nvSpPr>
        <xdr:cNvPr id="51" name="フローチャート: データ 50">
          <a:extLst>
            <a:ext uri="{FF2B5EF4-FFF2-40B4-BE49-F238E27FC236}">
              <a16:creationId xmlns:a16="http://schemas.microsoft.com/office/drawing/2014/main" id="{8DF7D4A6-7E37-43BF-B548-2A3E51B8DECE}"/>
            </a:ext>
          </a:extLst>
        </xdr:cNvPr>
        <xdr:cNvSpPr/>
      </xdr:nvSpPr>
      <xdr:spPr>
        <a:xfrm>
          <a:off x="4733924" y="16411576"/>
          <a:ext cx="1914525" cy="428624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df['PUSH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</xdr:txBody>
    </xdr:sp>
    <xdr:clientData/>
  </xdr:twoCellAnchor>
  <xdr:twoCellAnchor>
    <xdr:from>
      <xdr:col>20</xdr:col>
      <xdr:colOff>65987</xdr:colOff>
      <xdr:row>70</xdr:row>
      <xdr:rowOff>82549</xdr:rowOff>
    </xdr:from>
    <xdr:to>
      <xdr:col>20</xdr:col>
      <xdr:colOff>78687</xdr:colOff>
      <xdr:row>77</xdr:row>
      <xdr:rowOff>158750</xdr:rowOff>
    </xdr:to>
    <xdr:cxnSp macro="">
      <xdr:nvCxnSpPr>
        <xdr:cNvPr id="52" name="カギ線コネクタ 61">
          <a:extLst>
            <a:ext uri="{FF2B5EF4-FFF2-40B4-BE49-F238E27FC236}">
              <a16:creationId xmlns:a16="http://schemas.microsoft.com/office/drawing/2014/main" id="{9AD1F43D-FACC-4306-AC5B-B06007C3E912}"/>
            </a:ext>
          </a:extLst>
        </xdr:cNvPr>
        <xdr:cNvCxnSpPr>
          <a:stCxn id="48" idx="2"/>
          <a:endCxn id="50" idx="0"/>
        </xdr:cNvCxnSpPr>
      </xdr:nvCxnSpPr>
      <xdr:spPr>
        <a:xfrm rot="5400000">
          <a:off x="2415486" y="14478000"/>
          <a:ext cx="2933701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109536</xdr:colOff>
      <xdr:row>83</xdr:row>
      <xdr:rowOff>123825</xdr:rowOff>
    </xdr:from>
    <xdr:to>
      <xdr:col>28</xdr:col>
      <xdr:colOff>35136</xdr:colOff>
      <xdr:row>86</xdr:row>
      <xdr:rowOff>171450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240FB41-144D-40BD-B812-323B3CA113DB}"/>
            </a:ext>
          </a:extLst>
        </xdr:cNvPr>
        <xdr:cNvSpPr/>
      </xdr:nvSpPr>
      <xdr:spPr>
        <a:xfrm>
          <a:off x="2395536" y="17059275"/>
          <a:ext cx="2973600" cy="619125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チェック」の区分名を管理コードへ置換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管理コードべた書き</a:t>
          </a:r>
        </a:p>
      </xdr:txBody>
    </xdr:sp>
    <xdr:clientData/>
  </xdr:twoCellAnchor>
  <xdr:twoCellAnchor>
    <xdr:from>
      <xdr:col>25</xdr:col>
      <xdr:colOff>85723</xdr:colOff>
      <xdr:row>51</xdr:row>
      <xdr:rowOff>180976</xdr:rowOff>
    </xdr:from>
    <xdr:to>
      <xdr:col>39</xdr:col>
      <xdr:colOff>123824</xdr:colOff>
      <xdr:row>56</xdr:row>
      <xdr:rowOff>161926</xdr:rowOff>
    </xdr:to>
    <xdr:sp macro="" textlink="">
      <xdr:nvSpPr>
        <xdr:cNvPr id="54" name="線吹き出し 1 51">
          <a:extLst>
            <a:ext uri="{FF2B5EF4-FFF2-40B4-BE49-F238E27FC236}">
              <a16:creationId xmlns:a16="http://schemas.microsoft.com/office/drawing/2014/main" id="{4BFF8A56-41A8-47D8-B005-259A44A25C0F}"/>
            </a:ext>
          </a:extLst>
        </xdr:cNvPr>
        <xdr:cNvSpPr/>
      </xdr:nvSpPr>
      <xdr:spPr>
        <a:xfrm>
          <a:off x="4848223" y="9496426"/>
          <a:ext cx="2705101" cy="933450"/>
        </a:xfrm>
        <a:prstGeom prst="callout1">
          <a:avLst>
            <a:gd name="adj1" fmla="val 59842"/>
            <a:gd name="adj2" fmla="val -3293"/>
            <a:gd name="adj3" fmla="val 108171"/>
            <a:gd name="adj4" fmla="val -19017"/>
          </a:avLst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以降全てべた書き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kintone</a:t>
          </a: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のアラート条件マスタ参照にできないか？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現状通りの青列を出力したい場合はあまり改善できない。優先度別の列作成のみ可能。</a:t>
          </a:r>
          <a:endParaRPr lang="en-US" altLang="ja-JP" sz="9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90</xdr:row>
      <xdr:rowOff>1</xdr:rowOff>
    </xdr:from>
    <xdr:to>
      <xdr:col>28</xdr:col>
      <xdr:colOff>35136</xdr:colOff>
      <xdr:row>93</xdr:row>
      <xdr:rowOff>114301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707A496-AC72-424E-8741-1C962440E7C0}"/>
            </a:ext>
          </a:extLst>
        </xdr:cNvPr>
        <xdr:cNvSpPr/>
      </xdr:nvSpPr>
      <xdr:spPr>
        <a:xfrm>
          <a:off x="2395536" y="18078451"/>
          <a:ext cx="2973600" cy="6858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①列「正誤判定」追加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チェック」と「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対象区分」の値が一致していたら「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、不一致の場合「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」を挿入</a:t>
          </a:r>
        </a:p>
      </xdr:txBody>
    </xdr:sp>
    <xdr:clientData/>
  </xdr:twoCellAnchor>
  <xdr:twoCellAnchor>
    <xdr:from>
      <xdr:col>25</xdr:col>
      <xdr:colOff>133349</xdr:colOff>
      <xdr:row>92</xdr:row>
      <xdr:rowOff>165100</xdr:rowOff>
    </xdr:from>
    <xdr:to>
      <xdr:col>32</xdr:col>
      <xdr:colOff>28574</xdr:colOff>
      <xdr:row>95</xdr:row>
      <xdr:rowOff>38100</xdr:rowOff>
    </xdr:to>
    <xdr:sp macro="" textlink="">
      <xdr:nvSpPr>
        <xdr:cNvPr id="56" name="フローチャート: データ 55">
          <a:extLst>
            <a:ext uri="{FF2B5EF4-FFF2-40B4-BE49-F238E27FC236}">
              <a16:creationId xmlns:a16="http://schemas.microsoft.com/office/drawing/2014/main" id="{049EA7DB-4924-44BF-B634-B9D34D76A4BA}"/>
            </a:ext>
          </a:extLst>
        </xdr:cNvPr>
        <xdr:cNvSpPr/>
      </xdr:nvSpPr>
      <xdr:spPr>
        <a:xfrm>
          <a:off x="4895849" y="18624550"/>
          <a:ext cx="1228725" cy="444500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正誤判定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</xdr:txBody>
    </xdr:sp>
    <xdr:clientData/>
  </xdr:twoCellAnchor>
  <xdr:twoCellAnchor>
    <xdr:from>
      <xdr:col>20</xdr:col>
      <xdr:colOff>65986</xdr:colOff>
      <xdr:row>80</xdr:row>
      <xdr:rowOff>158751</xdr:rowOff>
    </xdr:from>
    <xdr:to>
      <xdr:col>20</xdr:col>
      <xdr:colOff>78686</xdr:colOff>
      <xdr:row>83</xdr:row>
      <xdr:rowOff>130175</xdr:rowOff>
    </xdr:to>
    <xdr:cxnSp macro="">
      <xdr:nvCxnSpPr>
        <xdr:cNvPr id="57" name="カギ線コネクタ 61">
          <a:extLst>
            <a:ext uri="{FF2B5EF4-FFF2-40B4-BE49-F238E27FC236}">
              <a16:creationId xmlns:a16="http://schemas.microsoft.com/office/drawing/2014/main" id="{6E0AFFEB-298E-4799-BA65-8C3940BD1A72}"/>
            </a:ext>
          </a:extLst>
        </xdr:cNvPr>
        <xdr:cNvCxnSpPr>
          <a:stCxn id="50" idx="2"/>
          <a:endCxn id="53" idx="0"/>
        </xdr:cNvCxnSpPr>
      </xdr:nvCxnSpPr>
      <xdr:spPr>
        <a:xfrm rot="5400000">
          <a:off x="3610874" y="16787813"/>
          <a:ext cx="542924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86</xdr:row>
      <xdr:rowOff>177799</xdr:rowOff>
    </xdr:from>
    <xdr:to>
      <xdr:col>20</xdr:col>
      <xdr:colOff>78687</xdr:colOff>
      <xdr:row>90</xdr:row>
      <xdr:rowOff>6350</xdr:rowOff>
    </xdr:to>
    <xdr:cxnSp macro="">
      <xdr:nvCxnSpPr>
        <xdr:cNvPr id="58" name="カギ線コネクタ 61">
          <a:extLst>
            <a:ext uri="{FF2B5EF4-FFF2-40B4-BE49-F238E27FC236}">
              <a16:creationId xmlns:a16="http://schemas.microsoft.com/office/drawing/2014/main" id="{49FB5CFB-1006-4E85-B2E2-1D3E3EE15A6D}"/>
            </a:ext>
          </a:extLst>
        </xdr:cNvPr>
        <xdr:cNvCxnSpPr>
          <a:stCxn id="53" idx="2"/>
          <a:endCxn id="55" idx="0"/>
        </xdr:cNvCxnSpPr>
      </xdr:nvCxnSpPr>
      <xdr:spPr>
        <a:xfrm rot="5400000">
          <a:off x="3682311" y="17878425"/>
          <a:ext cx="400051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109536</xdr:colOff>
      <xdr:row>152</xdr:row>
      <xdr:rowOff>38100</xdr:rowOff>
    </xdr:from>
    <xdr:to>
      <xdr:col>28</xdr:col>
      <xdr:colOff>35136</xdr:colOff>
      <xdr:row>153</xdr:row>
      <xdr:rowOff>153600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E98D2C0-B0F8-4D9F-9D25-43BFC326464F}"/>
            </a:ext>
          </a:extLst>
        </xdr:cNvPr>
        <xdr:cNvSpPr/>
      </xdr:nvSpPr>
      <xdr:spPr>
        <a:xfrm>
          <a:off x="2395536" y="29927550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列「正誤判定」の値をカウントし、完了メッセージに表示</a:t>
          </a:r>
        </a:p>
      </xdr:txBody>
    </xdr:sp>
    <xdr:clientData/>
  </xdr:twoCellAnchor>
  <xdr:twoCellAnchor>
    <xdr:from>
      <xdr:col>12</xdr:col>
      <xdr:colOff>109536</xdr:colOff>
      <xdr:row>96</xdr:row>
      <xdr:rowOff>133350</xdr:rowOff>
    </xdr:from>
    <xdr:to>
      <xdr:col>28</xdr:col>
      <xdr:colOff>35136</xdr:colOff>
      <xdr:row>98</xdr:row>
      <xdr:rowOff>58350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7E6E9626-E32F-4112-A2D9-E6FF99220A9C}"/>
            </a:ext>
          </a:extLst>
        </xdr:cNvPr>
        <xdr:cNvSpPr/>
      </xdr:nvSpPr>
      <xdr:spPr>
        <a:xfrm>
          <a:off x="2395536" y="19354800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True/False 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の値を ●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/""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に置換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100</xdr:row>
      <xdr:rowOff>161924</xdr:rowOff>
    </xdr:from>
    <xdr:to>
      <xdr:col>28</xdr:col>
      <xdr:colOff>35136</xdr:colOff>
      <xdr:row>103</xdr:row>
      <xdr:rowOff>152400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237BF4D8-3A53-46CF-8060-58E602C63801}"/>
            </a:ext>
          </a:extLst>
        </xdr:cNvPr>
        <xdr:cNvSpPr/>
      </xdr:nvSpPr>
      <xdr:spPr>
        <a:xfrm>
          <a:off x="2395536" y="20145374"/>
          <a:ext cx="2973600" cy="561976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日付変換時に追加した列「着工予定日」「最終更新日」「お客様来場日」を削除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106</xdr:row>
      <xdr:rowOff>76200</xdr:rowOff>
    </xdr:from>
    <xdr:to>
      <xdr:col>28</xdr:col>
      <xdr:colOff>35136</xdr:colOff>
      <xdr:row>108</xdr:row>
      <xdr:rowOff>1200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AF5298D3-AFA7-4AD8-9AEB-09632E06114A}"/>
            </a:ext>
          </a:extLst>
        </xdr:cNvPr>
        <xdr:cNvSpPr/>
      </xdr:nvSpPr>
      <xdr:spPr>
        <a:xfrm>
          <a:off x="2395536" y="21202650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データ取込時作成された不要な列（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Unnamed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）を削除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110</xdr:row>
      <xdr:rowOff>57150</xdr:rowOff>
    </xdr:from>
    <xdr:to>
      <xdr:col>28</xdr:col>
      <xdr:colOff>35136</xdr:colOff>
      <xdr:row>113</xdr:row>
      <xdr:rowOff>95250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94AA25C2-2B21-4A95-95C2-B0C43E86486E}"/>
            </a:ext>
          </a:extLst>
        </xdr:cNvPr>
        <xdr:cNvSpPr/>
      </xdr:nvSpPr>
      <xdr:spPr>
        <a:xfrm>
          <a:off x="2395536" y="21945600"/>
          <a:ext cx="2973600" cy="6096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列の並び替え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並び変えたい部分の列名はべた書き</a:t>
          </a:r>
          <a:endParaRPr kumimoji="1" lang="en-US" altLang="ja-JP" sz="9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115</xdr:row>
      <xdr:rowOff>180974</xdr:rowOff>
    </xdr:from>
    <xdr:to>
      <xdr:col>28</xdr:col>
      <xdr:colOff>35136</xdr:colOff>
      <xdr:row>117</xdr:row>
      <xdr:rowOff>123825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0D2AD04E-4E51-4650-A2A8-56C38C1BEC70}"/>
            </a:ext>
          </a:extLst>
        </xdr:cNvPr>
        <xdr:cNvSpPr/>
      </xdr:nvSpPr>
      <xdr:spPr>
        <a:xfrm>
          <a:off x="2395536" y="23021924"/>
          <a:ext cx="2973600" cy="323851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日付型の列を「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YYYY/MM/DD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」形式の文字列に変換</a:t>
          </a:r>
        </a:p>
      </xdr:txBody>
    </xdr:sp>
    <xdr:clientData/>
  </xdr:twoCellAnchor>
  <xdr:twoCellAnchor>
    <xdr:from>
      <xdr:col>38</xdr:col>
      <xdr:colOff>128323</xdr:colOff>
      <xdr:row>135</xdr:row>
      <xdr:rowOff>133349</xdr:rowOff>
    </xdr:from>
    <xdr:to>
      <xdr:col>49</xdr:col>
      <xdr:colOff>81223</xdr:colOff>
      <xdr:row>139</xdr:row>
      <xdr:rowOff>76949</xdr:rowOff>
    </xdr:to>
    <xdr:sp macro="" textlink="">
      <xdr:nvSpPr>
        <xdr:cNvPr id="153" name="フローチャート: 書類 152">
          <a:extLst>
            <a:ext uri="{FF2B5EF4-FFF2-40B4-BE49-F238E27FC236}">
              <a16:creationId xmlns:a16="http://schemas.microsoft.com/office/drawing/2014/main" id="{EDD0F28C-11E5-474F-BA9C-2142FBAE1626}"/>
            </a:ext>
          </a:extLst>
        </xdr:cNvPr>
        <xdr:cNvSpPr/>
      </xdr:nvSpPr>
      <xdr:spPr>
        <a:xfrm>
          <a:off x="7367323" y="26784299"/>
          <a:ext cx="2048400" cy="705600"/>
        </a:xfrm>
        <a:prstGeom prst="flowChartDocumen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{YYYYMMDD}_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案件アラートチェックシート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</a:p>
      </xdr:txBody>
    </xdr:sp>
    <xdr:clientData/>
  </xdr:twoCellAnchor>
  <xdr:twoCellAnchor>
    <xdr:from>
      <xdr:col>13</xdr:col>
      <xdr:colOff>171036</xdr:colOff>
      <xdr:row>129</xdr:row>
      <xdr:rowOff>133350</xdr:rowOff>
    </xdr:from>
    <xdr:to>
      <xdr:col>26</xdr:col>
      <xdr:colOff>164136</xdr:colOff>
      <xdr:row>134</xdr:row>
      <xdr:rowOff>133350</xdr:rowOff>
    </xdr:to>
    <xdr:sp macro="" textlink="">
      <xdr:nvSpPr>
        <xdr:cNvPr id="154" name="フローチャート: 判断 153">
          <a:extLst>
            <a:ext uri="{FF2B5EF4-FFF2-40B4-BE49-F238E27FC236}">
              <a16:creationId xmlns:a16="http://schemas.microsoft.com/office/drawing/2014/main" id="{855F59BD-06B7-4E12-802B-3B979561C309}"/>
            </a:ext>
          </a:extLst>
        </xdr:cNvPr>
        <xdr:cNvSpPr/>
      </xdr:nvSpPr>
      <xdr:spPr>
        <a:xfrm>
          <a:off x="2647536" y="25641300"/>
          <a:ext cx="2469600" cy="952500"/>
        </a:xfrm>
        <a:prstGeom prst="flowChartDecision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30</xdr:col>
      <xdr:colOff>73024</xdr:colOff>
      <xdr:row>131</xdr:row>
      <xdr:rowOff>63500</xdr:rowOff>
    </xdr:from>
    <xdr:to>
      <xdr:col>36</xdr:col>
      <xdr:colOff>56824</xdr:colOff>
      <xdr:row>133</xdr:row>
      <xdr:rowOff>12700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FE69D7E6-A7A5-42D3-ADB5-CA7E36C9212D}"/>
            </a:ext>
          </a:extLst>
        </xdr:cNvPr>
        <xdr:cNvSpPr/>
      </xdr:nvSpPr>
      <xdr:spPr>
        <a:xfrm>
          <a:off x="5788024" y="25952450"/>
          <a:ext cx="1126800" cy="3302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別名で保存</a:t>
          </a:r>
        </a:p>
      </xdr:txBody>
    </xdr:sp>
    <xdr:clientData/>
  </xdr:twoCellAnchor>
  <xdr:twoCellAnchor>
    <xdr:from>
      <xdr:col>19</xdr:col>
      <xdr:colOff>56461</xdr:colOff>
      <xdr:row>134</xdr:row>
      <xdr:rowOff>92077</xdr:rowOff>
    </xdr:from>
    <xdr:to>
      <xdr:col>21</xdr:col>
      <xdr:colOff>88211</xdr:colOff>
      <xdr:row>135</xdr:row>
      <xdr:rowOff>136526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4FAD7825-1828-4EC9-BFB3-B495B7CF4750}"/>
            </a:ext>
          </a:extLst>
        </xdr:cNvPr>
        <xdr:cNvSpPr/>
      </xdr:nvSpPr>
      <xdr:spPr>
        <a:xfrm flipH="1">
          <a:off x="3675961" y="26552527"/>
          <a:ext cx="412750" cy="234949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</a:p>
      </xdr:txBody>
    </xdr:sp>
    <xdr:clientData/>
  </xdr:twoCellAnchor>
  <xdr:twoCellAnchor>
    <xdr:from>
      <xdr:col>26</xdr:col>
      <xdr:colOff>66674</xdr:colOff>
      <xdr:row>131</xdr:row>
      <xdr:rowOff>106363</xdr:rowOff>
    </xdr:from>
    <xdr:to>
      <xdr:col>28</xdr:col>
      <xdr:colOff>98424</xdr:colOff>
      <xdr:row>132</xdr:row>
      <xdr:rowOff>133351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29AA2F56-3FCF-4888-97AB-9E7E98A0DC99}"/>
            </a:ext>
          </a:extLst>
        </xdr:cNvPr>
        <xdr:cNvSpPr/>
      </xdr:nvSpPr>
      <xdr:spPr>
        <a:xfrm flipH="1">
          <a:off x="5019674" y="25995313"/>
          <a:ext cx="412750" cy="217488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失敗</a:t>
          </a:r>
        </a:p>
      </xdr:txBody>
    </xdr:sp>
    <xdr:clientData/>
  </xdr:twoCellAnchor>
  <xdr:twoCellAnchor>
    <xdr:from>
      <xdr:col>28</xdr:col>
      <xdr:colOff>98424</xdr:colOff>
      <xdr:row>132</xdr:row>
      <xdr:rowOff>24607</xdr:rowOff>
    </xdr:from>
    <xdr:to>
      <xdr:col>30</xdr:col>
      <xdr:colOff>73024</xdr:colOff>
      <xdr:row>132</xdr:row>
      <xdr:rowOff>38100</xdr:rowOff>
    </xdr:to>
    <xdr:cxnSp macro="">
      <xdr:nvCxnSpPr>
        <xdr:cNvPr id="158" name="カギ線コネクタ 61">
          <a:extLst>
            <a:ext uri="{FF2B5EF4-FFF2-40B4-BE49-F238E27FC236}">
              <a16:creationId xmlns:a16="http://schemas.microsoft.com/office/drawing/2014/main" id="{F702E2FA-94A9-4BC0-96D6-471D8D281A66}"/>
            </a:ext>
          </a:extLst>
        </xdr:cNvPr>
        <xdr:cNvCxnSpPr>
          <a:cxnSpLocks/>
          <a:stCxn id="157" idx="1"/>
          <a:endCxn id="155" idx="1"/>
        </xdr:cNvCxnSpPr>
      </xdr:nvCxnSpPr>
      <xdr:spPr>
        <a:xfrm>
          <a:off x="5432424" y="26104057"/>
          <a:ext cx="355600" cy="13493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128586</xdr:colOff>
      <xdr:row>130</xdr:row>
      <xdr:rowOff>66675</xdr:rowOff>
    </xdr:from>
    <xdr:to>
      <xdr:col>49</xdr:col>
      <xdr:colOff>80961</xdr:colOff>
      <xdr:row>134</xdr:row>
      <xdr:rowOff>9525</xdr:rowOff>
    </xdr:to>
    <xdr:sp macro="" textlink="">
      <xdr:nvSpPr>
        <xdr:cNvPr id="159" name="フローチャート: 書類 158">
          <a:extLst>
            <a:ext uri="{FF2B5EF4-FFF2-40B4-BE49-F238E27FC236}">
              <a16:creationId xmlns:a16="http://schemas.microsoft.com/office/drawing/2014/main" id="{851B4325-5E3F-4EDD-A7AA-7ECC7A82F7EB}"/>
            </a:ext>
          </a:extLst>
        </xdr:cNvPr>
        <xdr:cNvSpPr/>
      </xdr:nvSpPr>
      <xdr:spPr>
        <a:xfrm>
          <a:off x="7367586" y="25765125"/>
          <a:ext cx="2047875" cy="704850"/>
        </a:xfrm>
        <a:prstGeom prst="flowChartDocumen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{YYYYMMDD}_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案件アラートチェックシート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_{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タイムスタンプ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}.xlsx</a:t>
          </a:r>
        </a:p>
      </xdr:txBody>
    </xdr:sp>
    <xdr:clientData/>
  </xdr:twoCellAnchor>
  <xdr:twoCellAnchor>
    <xdr:from>
      <xdr:col>36</xdr:col>
      <xdr:colOff>56824</xdr:colOff>
      <xdr:row>132</xdr:row>
      <xdr:rowOff>38100</xdr:rowOff>
    </xdr:from>
    <xdr:to>
      <xdr:col>38</xdr:col>
      <xdr:colOff>128586</xdr:colOff>
      <xdr:row>132</xdr:row>
      <xdr:rowOff>50800</xdr:rowOff>
    </xdr:to>
    <xdr:cxnSp macro="">
      <xdr:nvCxnSpPr>
        <xdr:cNvPr id="160" name="カギ線コネクタ 59">
          <a:extLst>
            <a:ext uri="{FF2B5EF4-FFF2-40B4-BE49-F238E27FC236}">
              <a16:creationId xmlns:a16="http://schemas.microsoft.com/office/drawing/2014/main" id="{60A7B192-4402-4B47-AC9E-43F1BBC076B8}"/>
            </a:ext>
          </a:extLst>
        </xdr:cNvPr>
        <xdr:cNvCxnSpPr>
          <a:stCxn id="155" idx="3"/>
          <a:endCxn id="159" idx="1"/>
        </xdr:cNvCxnSpPr>
      </xdr:nvCxnSpPr>
      <xdr:spPr>
        <a:xfrm>
          <a:off x="6914824" y="26117550"/>
          <a:ext cx="452762" cy="12700"/>
        </a:xfrm>
        <a:prstGeom prst="bentConnector3">
          <a:avLst>
            <a:gd name="adj1" fmla="val 50000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72336</xdr:colOff>
      <xdr:row>135</xdr:row>
      <xdr:rowOff>136525</xdr:rowOff>
    </xdr:from>
    <xdr:to>
      <xdr:col>38</xdr:col>
      <xdr:colOff>128323</xdr:colOff>
      <xdr:row>137</xdr:row>
      <xdr:rowOff>105148</xdr:rowOff>
    </xdr:to>
    <xdr:cxnSp macro="">
      <xdr:nvCxnSpPr>
        <xdr:cNvPr id="161" name="カギ線コネクタ 59">
          <a:extLst>
            <a:ext uri="{FF2B5EF4-FFF2-40B4-BE49-F238E27FC236}">
              <a16:creationId xmlns:a16="http://schemas.microsoft.com/office/drawing/2014/main" id="{B2DF96A7-BF84-46B6-9E55-A18E70841AB8}"/>
            </a:ext>
          </a:extLst>
        </xdr:cNvPr>
        <xdr:cNvCxnSpPr>
          <a:stCxn id="156" idx="2"/>
          <a:endCxn id="153" idx="1"/>
        </xdr:cNvCxnSpPr>
      </xdr:nvCxnSpPr>
      <xdr:spPr>
        <a:xfrm rot="16200000" flipH="1">
          <a:off x="5450018" y="25219793"/>
          <a:ext cx="349623" cy="3484987"/>
        </a:xfrm>
        <a:prstGeom prst="bentConnector2">
          <a:avLst/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152398</xdr:colOff>
      <xdr:row>138</xdr:row>
      <xdr:rowOff>161926</xdr:rowOff>
    </xdr:from>
    <xdr:to>
      <xdr:col>35</xdr:col>
      <xdr:colOff>190499</xdr:colOff>
      <xdr:row>141</xdr:row>
      <xdr:rowOff>161925</xdr:rowOff>
    </xdr:to>
    <xdr:sp macro="" textlink="">
      <xdr:nvSpPr>
        <xdr:cNvPr id="162" name="線吹き出し 1 51">
          <a:extLst>
            <a:ext uri="{FF2B5EF4-FFF2-40B4-BE49-F238E27FC236}">
              <a16:creationId xmlns:a16="http://schemas.microsoft.com/office/drawing/2014/main" id="{65460F76-B3DE-4068-B9B4-A19323764E6B}"/>
            </a:ext>
          </a:extLst>
        </xdr:cNvPr>
        <xdr:cNvSpPr/>
      </xdr:nvSpPr>
      <xdr:spPr>
        <a:xfrm>
          <a:off x="5295898" y="27384376"/>
          <a:ext cx="1562101" cy="571499"/>
        </a:xfrm>
        <a:prstGeom prst="callout1">
          <a:avLst>
            <a:gd name="adj1" fmla="val 54552"/>
            <a:gd name="adj2" fmla="val -5595"/>
            <a:gd name="adj3" fmla="val 94328"/>
            <a:gd name="adj4" fmla="val -25987"/>
          </a:avLst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もしファイル作成失敗していたら例外エラーになる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109536</xdr:colOff>
      <xdr:row>146</xdr:row>
      <xdr:rowOff>161925</xdr:rowOff>
    </xdr:from>
    <xdr:to>
      <xdr:col>28</xdr:col>
      <xdr:colOff>35136</xdr:colOff>
      <xdr:row>148</xdr:row>
      <xdr:rowOff>86925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188FA559-84E0-4740-9944-B177D6024239}"/>
            </a:ext>
          </a:extLst>
        </xdr:cNvPr>
        <xdr:cNvSpPr/>
      </xdr:nvSpPr>
      <xdr:spPr>
        <a:xfrm>
          <a:off x="2395536" y="28908375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書式設定し上書き保存</a:t>
          </a:r>
        </a:p>
      </xdr:txBody>
    </xdr:sp>
    <xdr:clientData/>
  </xdr:twoCellAnchor>
  <xdr:twoCellAnchor>
    <xdr:from>
      <xdr:col>20</xdr:col>
      <xdr:colOff>72335</xdr:colOff>
      <xdr:row>139</xdr:row>
      <xdr:rowOff>30301</xdr:rowOff>
    </xdr:from>
    <xdr:to>
      <xdr:col>44</xdr:col>
      <xdr:colOff>9522</xdr:colOff>
      <xdr:row>148</xdr:row>
      <xdr:rowOff>86925</xdr:rowOff>
    </xdr:to>
    <xdr:cxnSp macro="">
      <xdr:nvCxnSpPr>
        <xdr:cNvPr id="164" name="カギ線コネクタ 59">
          <a:extLst>
            <a:ext uri="{FF2B5EF4-FFF2-40B4-BE49-F238E27FC236}">
              <a16:creationId xmlns:a16="http://schemas.microsoft.com/office/drawing/2014/main" id="{9DA0BD32-E76B-4A4B-955E-13E2FE7601DD}"/>
            </a:ext>
          </a:extLst>
        </xdr:cNvPr>
        <xdr:cNvCxnSpPr>
          <a:stCxn id="163" idx="2"/>
          <a:endCxn id="153" idx="2"/>
        </xdr:cNvCxnSpPr>
      </xdr:nvCxnSpPr>
      <xdr:spPr>
        <a:xfrm rot="5400000" flipH="1" flipV="1">
          <a:off x="5251367" y="26074219"/>
          <a:ext cx="1771124" cy="4509187"/>
        </a:xfrm>
        <a:prstGeom prst="bentConnector3">
          <a:avLst>
            <a:gd name="adj1" fmla="val -12907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158061</xdr:colOff>
      <xdr:row>156</xdr:row>
      <xdr:rowOff>76200</xdr:rowOff>
    </xdr:from>
    <xdr:to>
      <xdr:col>22</xdr:col>
      <xdr:colOff>177111</xdr:colOff>
      <xdr:row>158</xdr:row>
      <xdr:rowOff>9525</xdr:rowOff>
    </xdr:to>
    <xdr:sp macro="" textlink="">
      <xdr:nvSpPr>
        <xdr:cNvPr id="165" name="フローチャート: 端子 164">
          <a:extLst>
            <a:ext uri="{FF2B5EF4-FFF2-40B4-BE49-F238E27FC236}">
              <a16:creationId xmlns:a16="http://schemas.microsoft.com/office/drawing/2014/main" id="{D9DA960C-F658-4BA8-87C7-EE0429C88E3E}"/>
            </a:ext>
          </a:extLst>
        </xdr:cNvPr>
        <xdr:cNvSpPr/>
      </xdr:nvSpPr>
      <xdr:spPr>
        <a:xfrm>
          <a:off x="3396561" y="30727650"/>
          <a:ext cx="971550" cy="31432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20</xdr:col>
      <xdr:colOff>65986</xdr:colOff>
      <xdr:row>98</xdr:row>
      <xdr:rowOff>64700</xdr:rowOff>
    </xdr:from>
    <xdr:to>
      <xdr:col>20</xdr:col>
      <xdr:colOff>78686</xdr:colOff>
      <xdr:row>100</xdr:row>
      <xdr:rowOff>168274</xdr:rowOff>
    </xdr:to>
    <xdr:cxnSp macro="">
      <xdr:nvCxnSpPr>
        <xdr:cNvPr id="167" name="カギ線コネクタ 61">
          <a:extLst>
            <a:ext uri="{FF2B5EF4-FFF2-40B4-BE49-F238E27FC236}">
              <a16:creationId xmlns:a16="http://schemas.microsoft.com/office/drawing/2014/main" id="{4FF7A21D-FEDA-45A9-AF7B-4F837F437CE8}"/>
            </a:ext>
          </a:extLst>
        </xdr:cNvPr>
        <xdr:cNvCxnSpPr>
          <a:stCxn id="60" idx="2"/>
          <a:endCxn id="61" idx="0"/>
        </xdr:cNvCxnSpPr>
      </xdr:nvCxnSpPr>
      <xdr:spPr>
        <a:xfrm rot="5400000">
          <a:off x="3640049" y="19903087"/>
          <a:ext cx="484574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65986</xdr:colOff>
      <xdr:row>103</xdr:row>
      <xdr:rowOff>158750</xdr:rowOff>
    </xdr:from>
    <xdr:to>
      <xdr:col>20</xdr:col>
      <xdr:colOff>78686</xdr:colOff>
      <xdr:row>106</xdr:row>
      <xdr:rowOff>82550</xdr:rowOff>
    </xdr:to>
    <xdr:cxnSp macro="">
      <xdr:nvCxnSpPr>
        <xdr:cNvPr id="168" name="カギ線コネクタ 61">
          <a:extLst>
            <a:ext uri="{FF2B5EF4-FFF2-40B4-BE49-F238E27FC236}">
              <a16:creationId xmlns:a16="http://schemas.microsoft.com/office/drawing/2014/main" id="{ABFF204E-9CB2-4507-B225-3EE8A6F8A158}"/>
            </a:ext>
          </a:extLst>
        </xdr:cNvPr>
        <xdr:cNvCxnSpPr>
          <a:stCxn id="61" idx="2"/>
          <a:endCxn id="62" idx="0"/>
        </xdr:cNvCxnSpPr>
      </xdr:nvCxnSpPr>
      <xdr:spPr>
        <a:xfrm rot="5400000">
          <a:off x="3634686" y="20955000"/>
          <a:ext cx="49530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65986</xdr:colOff>
      <xdr:row>108</xdr:row>
      <xdr:rowOff>7550</xdr:rowOff>
    </xdr:from>
    <xdr:to>
      <xdr:col>20</xdr:col>
      <xdr:colOff>78686</xdr:colOff>
      <xdr:row>110</xdr:row>
      <xdr:rowOff>63500</xdr:rowOff>
    </xdr:to>
    <xdr:cxnSp macro="">
      <xdr:nvCxnSpPr>
        <xdr:cNvPr id="169" name="カギ線コネクタ 61">
          <a:extLst>
            <a:ext uri="{FF2B5EF4-FFF2-40B4-BE49-F238E27FC236}">
              <a16:creationId xmlns:a16="http://schemas.microsoft.com/office/drawing/2014/main" id="{2169343D-1D77-4D17-8A52-5DEFF18F2C92}"/>
            </a:ext>
          </a:extLst>
        </xdr:cNvPr>
        <xdr:cNvCxnSpPr>
          <a:stCxn id="62" idx="2"/>
          <a:endCxn id="63" idx="0"/>
        </xdr:cNvCxnSpPr>
      </xdr:nvCxnSpPr>
      <xdr:spPr>
        <a:xfrm rot="5400000">
          <a:off x="3663861" y="21727125"/>
          <a:ext cx="43695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65986</xdr:colOff>
      <xdr:row>113</xdr:row>
      <xdr:rowOff>101600</xdr:rowOff>
    </xdr:from>
    <xdr:to>
      <xdr:col>20</xdr:col>
      <xdr:colOff>78686</xdr:colOff>
      <xdr:row>115</xdr:row>
      <xdr:rowOff>187324</xdr:rowOff>
    </xdr:to>
    <xdr:cxnSp macro="">
      <xdr:nvCxnSpPr>
        <xdr:cNvPr id="170" name="カギ線コネクタ 61">
          <a:extLst>
            <a:ext uri="{FF2B5EF4-FFF2-40B4-BE49-F238E27FC236}">
              <a16:creationId xmlns:a16="http://schemas.microsoft.com/office/drawing/2014/main" id="{7908BBD5-EFE8-470C-9A79-F261C163A091}"/>
            </a:ext>
          </a:extLst>
        </xdr:cNvPr>
        <xdr:cNvCxnSpPr>
          <a:stCxn id="63" idx="2"/>
          <a:endCxn id="152" idx="0"/>
        </xdr:cNvCxnSpPr>
      </xdr:nvCxnSpPr>
      <xdr:spPr>
        <a:xfrm rot="5400000">
          <a:off x="3648974" y="22788562"/>
          <a:ext cx="466724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117</xdr:row>
      <xdr:rowOff>130174</xdr:rowOff>
    </xdr:from>
    <xdr:to>
      <xdr:col>20</xdr:col>
      <xdr:colOff>78687</xdr:colOff>
      <xdr:row>129</xdr:row>
      <xdr:rowOff>139699</xdr:rowOff>
    </xdr:to>
    <xdr:cxnSp macro="">
      <xdr:nvCxnSpPr>
        <xdr:cNvPr id="171" name="カギ線コネクタ 61">
          <a:extLst>
            <a:ext uri="{FF2B5EF4-FFF2-40B4-BE49-F238E27FC236}">
              <a16:creationId xmlns:a16="http://schemas.microsoft.com/office/drawing/2014/main" id="{5A0E0395-E8BD-4331-B488-C87989BDB938}"/>
            </a:ext>
          </a:extLst>
        </xdr:cNvPr>
        <xdr:cNvCxnSpPr>
          <a:stCxn id="152" idx="2"/>
          <a:endCxn id="154" idx="0"/>
        </xdr:cNvCxnSpPr>
      </xdr:nvCxnSpPr>
      <xdr:spPr>
        <a:xfrm rot="5400000">
          <a:off x="2734574" y="24493537"/>
          <a:ext cx="229552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135</xdr:row>
      <xdr:rowOff>142875</xdr:rowOff>
    </xdr:from>
    <xdr:to>
      <xdr:col>20</xdr:col>
      <xdr:colOff>78687</xdr:colOff>
      <xdr:row>142</xdr:row>
      <xdr:rowOff>34924</xdr:rowOff>
    </xdr:to>
    <xdr:cxnSp macro="">
      <xdr:nvCxnSpPr>
        <xdr:cNvPr id="172" name="カギ線コネクタ 61">
          <a:extLst>
            <a:ext uri="{FF2B5EF4-FFF2-40B4-BE49-F238E27FC236}">
              <a16:creationId xmlns:a16="http://schemas.microsoft.com/office/drawing/2014/main" id="{225FB53E-0667-4241-A6EB-1C4CFDF23C20}"/>
            </a:ext>
          </a:extLst>
        </xdr:cNvPr>
        <xdr:cNvCxnSpPr>
          <a:stCxn id="156" idx="2"/>
          <a:endCxn id="2" idx="0"/>
        </xdr:cNvCxnSpPr>
      </xdr:nvCxnSpPr>
      <xdr:spPr>
        <a:xfrm rot="5400000">
          <a:off x="3269562" y="27400250"/>
          <a:ext cx="1225549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148</xdr:row>
      <xdr:rowOff>93274</xdr:rowOff>
    </xdr:from>
    <xdr:to>
      <xdr:col>20</xdr:col>
      <xdr:colOff>78687</xdr:colOff>
      <xdr:row>152</xdr:row>
      <xdr:rowOff>44449</xdr:rowOff>
    </xdr:to>
    <xdr:cxnSp macro="">
      <xdr:nvCxnSpPr>
        <xdr:cNvPr id="173" name="カギ線コネクタ 61">
          <a:extLst>
            <a:ext uri="{FF2B5EF4-FFF2-40B4-BE49-F238E27FC236}">
              <a16:creationId xmlns:a16="http://schemas.microsoft.com/office/drawing/2014/main" id="{70EE521A-4880-451D-AA46-701E62C3D0BD}"/>
            </a:ext>
          </a:extLst>
        </xdr:cNvPr>
        <xdr:cNvCxnSpPr>
          <a:stCxn id="163" idx="2"/>
          <a:endCxn id="59" idx="0"/>
        </xdr:cNvCxnSpPr>
      </xdr:nvCxnSpPr>
      <xdr:spPr>
        <a:xfrm rot="5400000">
          <a:off x="3525749" y="29570962"/>
          <a:ext cx="71317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65986</xdr:colOff>
      <xdr:row>153</xdr:row>
      <xdr:rowOff>159950</xdr:rowOff>
    </xdr:from>
    <xdr:to>
      <xdr:col>20</xdr:col>
      <xdr:colOff>78686</xdr:colOff>
      <xdr:row>156</xdr:row>
      <xdr:rowOff>82550</xdr:rowOff>
    </xdr:to>
    <xdr:cxnSp macro="">
      <xdr:nvCxnSpPr>
        <xdr:cNvPr id="174" name="カギ線コネクタ 61">
          <a:extLst>
            <a:ext uri="{FF2B5EF4-FFF2-40B4-BE49-F238E27FC236}">
              <a16:creationId xmlns:a16="http://schemas.microsoft.com/office/drawing/2014/main" id="{58956B96-D555-4C57-8B45-43CF8D222267}"/>
            </a:ext>
          </a:extLst>
        </xdr:cNvPr>
        <xdr:cNvCxnSpPr>
          <a:stCxn id="59" idx="2"/>
          <a:endCxn id="165" idx="0"/>
        </xdr:cNvCxnSpPr>
      </xdr:nvCxnSpPr>
      <xdr:spPr>
        <a:xfrm rot="5400000">
          <a:off x="3635286" y="30480600"/>
          <a:ext cx="49410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123825</xdr:colOff>
      <xdr:row>40</xdr:row>
      <xdr:rowOff>104774</xdr:rowOff>
    </xdr:from>
    <xdr:to>
      <xdr:col>36</xdr:col>
      <xdr:colOff>190499</xdr:colOff>
      <xdr:row>44</xdr:row>
      <xdr:rowOff>152400</xdr:rowOff>
    </xdr:to>
    <xdr:sp macro="" textlink="">
      <xdr:nvSpPr>
        <xdr:cNvPr id="176" name="フローチャート: データ 175">
          <a:extLst>
            <a:ext uri="{FF2B5EF4-FFF2-40B4-BE49-F238E27FC236}">
              <a16:creationId xmlns:a16="http://schemas.microsoft.com/office/drawing/2014/main" id="{D26C173A-F495-47D8-B53A-75F53D5481BC}"/>
            </a:ext>
          </a:extLst>
        </xdr:cNvPr>
        <xdr:cNvSpPr/>
      </xdr:nvSpPr>
      <xdr:spPr>
        <a:xfrm>
          <a:off x="4695825" y="7324724"/>
          <a:ext cx="2352674" cy="809626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    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契約予定日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':         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契約予定日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    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着工予定日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':         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着工予定日（成約確認書）　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延期の申告を受けた場合は上書き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pPr algn="l"/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・・・</a:t>
          </a:r>
          <a:endParaRPr kumimoji="1" lang="en-US" altLang="ja-JP" sz="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65987</xdr:colOff>
      <xdr:row>143</xdr:row>
      <xdr:rowOff>130173</xdr:rowOff>
    </xdr:from>
    <xdr:to>
      <xdr:col>20</xdr:col>
      <xdr:colOff>78687</xdr:colOff>
      <xdr:row>146</xdr:row>
      <xdr:rowOff>168274</xdr:rowOff>
    </xdr:to>
    <xdr:cxnSp macro="">
      <xdr:nvCxnSpPr>
        <xdr:cNvPr id="177" name="カギ線コネクタ 61">
          <a:extLst>
            <a:ext uri="{FF2B5EF4-FFF2-40B4-BE49-F238E27FC236}">
              <a16:creationId xmlns:a16="http://schemas.microsoft.com/office/drawing/2014/main" id="{A64CB652-4041-4019-9CEE-7527AE02C138}"/>
            </a:ext>
          </a:extLst>
        </xdr:cNvPr>
        <xdr:cNvCxnSpPr>
          <a:stCxn id="2" idx="2"/>
          <a:endCxn id="163" idx="0"/>
        </xdr:cNvCxnSpPr>
      </xdr:nvCxnSpPr>
      <xdr:spPr>
        <a:xfrm rot="5400000">
          <a:off x="3577536" y="28603574"/>
          <a:ext cx="609601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65987</xdr:colOff>
      <xdr:row>93</xdr:row>
      <xdr:rowOff>120650</xdr:rowOff>
    </xdr:from>
    <xdr:to>
      <xdr:col>20</xdr:col>
      <xdr:colOff>78687</xdr:colOff>
      <xdr:row>96</xdr:row>
      <xdr:rowOff>139699</xdr:rowOff>
    </xdr:to>
    <xdr:cxnSp macro="">
      <xdr:nvCxnSpPr>
        <xdr:cNvPr id="184" name="カギ線コネクタ 61">
          <a:extLst>
            <a:ext uri="{FF2B5EF4-FFF2-40B4-BE49-F238E27FC236}">
              <a16:creationId xmlns:a16="http://schemas.microsoft.com/office/drawing/2014/main" id="{E3742378-1270-4D56-AA06-B3CC1FEFFD51}"/>
            </a:ext>
          </a:extLst>
        </xdr:cNvPr>
        <xdr:cNvCxnSpPr>
          <a:stCxn id="55" idx="2"/>
          <a:endCxn id="60" idx="0"/>
        </xdr:cNvCxnSpPr>
      </xdr:nvCxnSpPr>
      <xdr:spPr>
        <a:xfrm rot="5400000">
          <a:off x="3587062" y="19059525"/>
          <a:ext cx="590549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171450</xdr:colOff>
      <xdr:row>11</xdr:row>
      <xdr:rowOff>85725</xdr:rowOff>
    </xdr:from>
    <xdr:to>
      <xdr:col>99</xdr:col>
      <xdr:colOff>114300</xdr:colOff>
      <xdr:row>13</xdr:row>
      <xdr:rowOff>38101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426E4EE2-6F09-4878-ACFF-27337A0AC20B}"/>
            </a:ext>
          </a:extLst>
        </xdr:cNvPr>
        <xdr:cNvSpPr/>
      </xdr:nvSpPr>
      <xdr:spPr>
        <a:xfrm>
          <a:off x="14268450" y="2352675"/>
          <a:ext cx="2990850" cy="333376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でデータ取得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100012</xdr:colOff>
      <xdr:row>12</xdr:row>
      <xdr:rowOff>85725</xdr:rowOff>
    </xdr:from>
    <xdr:to>
      <xdr:col>101</xdr:col>
      <xdr:colOff>125412</xdr:colOff>
      <xdr:row>14</xdr:row>
      <xdr:rowOff>11252</xdr:rowOff>
    </xdr:to>
    <xdr:sp macro="" textlink="">
      <xdr:nvSpPr>
        <xdr:cNvPr id="219" name="フローチャート: データ 218">
          <a:extLst>
            <a:ext uri="{FF2B5EF4-FFF2-40B4-BE49-F238E27FC236}">
              <a16:creationId xmlns:a16="http://schemas.microsoft.com/office/drawing/2014/main" id="{AC1664BC-9F1F-46B3-BCEB-01E3DBEFBF87}"/>
            </a:ext>
          </a:extLst>
        </xdr:cNvPr>
        <xdr:cNvSpPr/>
      </xdr:nvSpPr>
      <xdr:spPr>
        <a:xfrm>
          <a:off x="16673512" y="2543175"/>
          <a:ext cx="977900" cy="306527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26193</xdr:colOff>
      <xdr:row>33</xdr:row>
      <xdr:rowOff>1</xdr:rowOff>
    </xdr:from>
    <xdr:to>
      <xdr:col>78</xdr:col>
      <xdr:colOff>142293</xdr:colOff>
      <xdr:row>34</xdr:row>
      <xdr:rowOff>115501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CD3BC3B9-B6C7-44C4-A865-16A07ECD1810}"/>
            </a:ext>
          </a:extLst>
        </xdr:cNvPr>
        <xdr:cNvSpPr/>
      </xdr:nvSpPr>
      <xdr:spPr>
        <a:xfrm>
          <a:off x="10313193" y="6457951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FMT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</a:t>
          </a:r>
        </a:p>
      </xdr:txBody>
    </xdr:sp>
    <xdr:clientData/>
  </xdr:twoCellAnchor>
  <xdr:twoCellAnchor>
    <xdr:from>
      <xdr:col>64</xdr:col>
      <xdr:colOff>33338</xdr:colOff>
      <xdr:row>26</xdr:row>
      <xdr:rowOff>76200</xdr:rowOff>
    </xdr:from>
    <xdr:to>
      <xdr:col>76</xdr:col>
      <xdr:colOff>33338</xdr:colOff>
      <xdr:row>29</xdr:row>
      <xdr:rowOff>47625</xdr:rowOff>
    </xdr:to>
    <xdr:sp macro="" textlink="">
      <xdr:nvSpPr>
        <xdr:cNvPr id="222" name="線吹き出し 1 51">
          <a:extLst>
            <a:ext uri="{FF2B5EF4-FFF2-40B4-BE49-F238E27FC236}">
              <a16:creationId xmlns:a16="http://schemas.microsoft.com/office/drawing/2014/main" id="{2B56A760-A00C-42C7-ADC1-43B2067CDDDC}"/>
            </a:ext>
          </a:extLst>
        </xdr:cNvPr>
        <xdr:cNvSpPr/>
      </xdr:nvSpPr>
      <xdr:spPr>
        <a:xfrm>
          <a:off x="10510838" y="5200650"/>
          <a:ext cx="2286000" cy="542925"/>
        </a:xfrm>
        <a:prstGeom prst="callout1">
          <a:avLst>
            <a:gd name="adj1" fmla="val 113080"/>
            <a:gd name="adj2" fmla="val 15098"/>
            <a:gd name="adj3" fmla="val 209193"/>
            <a:gd name="adj4" fmla="val 26084"/>
          </a:avLst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FMT</a:t>
          </a: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はテンプレートファイルで管理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必須項目チェック </a:t>
          </a:r>
          <a:r>
            <a: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or </a:t>
          </a: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全列完全一致チェック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26193</xdr:colOff>
      <xdr:row>38</xdr:row>
      <xdr:rowOff>142876</xdr:rowOff>
    </xdr:from>
    <xdr:to>
      <xdr:col>78</xdr:col>
      <xdr:colOff>142293</xdr:colOff>
      <xdr:row>40</xdr:row>
      <xdr:rowOff>67876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11F44FCD-4CD3-4EA3-98B5-B0577E8C57E6}"/>
            </a:ext>
          </a:extLst>
        </xdr:cNvPr>
        <xdr:cNvSpPr/>
      </xdr:nvSpPr>
      <xdr:spPr>
        <a:xfrm>
          <a:off x="10313193" y="7553326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日付列の型を文字列→日付に変換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150018</xdr:colOff>
      <xdr:row>44</xdr:row>
      <xdr:rowOff>114301</xdr:rowOff>
    </xdr:from>
    <xdr:to>
      <xdr:col>89</xdr:col>
      <xdr:colOff>75618</xdr:colOff>
      <xdr:row>46</xdr:row>
      <xdr:rowOff>39301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F65FB844-FA55-4902-A578-038251F31610}"/>
            </a:ext>
          </a:extLst>
        </xdr:cNvPr>
        <xdr:cNvSpPr/>
      </xdr:nvSpPr>
      <xdr:spPr>
        <a:xfrm>
          <a:off x="12342018" y="8667751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で「アラート条件マスタ」アプリの全レコード取得</a:t>
          </a:r>
        </a:p>
      </xdr:txBody>
    </xdr:sp>
    <xdr:clientData/>
  </xdr:twoCellAnchor>
  <xdr:twoCellAnchor>
    <xdr:from>
      <xdr:col>73</xdr:col>
      <xdr:colOff>150018</xdr:colOff>
      <xdr:row>48</xdr:row>
      <xdr:rowOff>119064</xdr:rowOff>
    </xdr:from>
    <xdr:to>
      <xdr:col>89</xdr:col>
      <xdr:colOff>75618</xdr:colOff>
      <xdr:row>50</xdr:row>
      <xdr:rowOff>44064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308B1BF3-47B3-4620-A225-073E449D6D0A}"/>
            </a:ext>
          </a:extLst>
        </xdr:cNvPr>
        <xdr:cNvSpPr/>
      </xdr:nvSpPr>
      <xdr:spPr>
        <a:xfrm>
          <a:off x="12342018" y="9434514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で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種別判別用のラベルのフィールド名を取得</a:t>
          </a:r>
        </a:p>
      </xdr:txBody>
    </xdr:sp>
    <xdr:clientData/>
  </xdr:twoCellAnchor>
  <xdr:twoCellAnchor>
    <xdr:from>
      <xdr:col>73</xdr:col>
      <xdr:colOff>150018</xdr:colOff>
      <xdr:row>52</xdr:row>
      <xdr:rowOff>123826</xdr:rowOff>
    </xdr:from>
    <xdr:to>
      <xdr:col>89</xdr:col>
      <xdr:colOff>75618</xdr:colOff>
      <xdr:row>54</xdr:row>
      <xdr:rowOff>48826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8BCBF1DD-E38D-4A4C-9078-24A00787DC70}"/>
            </a:ext>
          </a:extLst>
        </xdr:cNvPr>
        <xdr:cNvSpPr/>
      </xdr:nvSpPr>
      <xdr:spPr>
        <a:xfrm>
          <a:off x="12342018" y="10201276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「アラート条件マスタ」を優先度順にソート</a:t>
          </a:r>
        </a:p>
      </xdr:txBody>
    </xdr:sp>
    <xdr:clientData/>
  </xdr:twoCellAnchor>
  <xdr:twoCellAnchor>
    <xdr:from>
      <xdr:col>73</xdr:col>
      <xdr:colOff>150018</xdr:colOff>
      <xdr:row>65</xdr:row>
      <xdr:rowOff>184242</xdr:rowOff>
    </xdr:from>
    <xdr:to>
      <xdr:col>89</xdr:col>
      <xdr:colOff>75618</xdr:colOff>
      <xdr:row>69</xdr:row>
      <xdr:rowOff>127842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D44DD56B-F712-4AE1-BD17-5F2ED9F5BA52}"/>
            </a:ext>
          </a:extLst>
        </xdr:cNvPr>
        <xdr:cNvSpPr/>
      </xdr:nvSpPr>
      <xdr:spPr>
        <a:xfrm>
          <a:off x="12342018" y="12738192"/>
          <a:ext cx="2973600" cy="7056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①列「優先度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」追加　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※X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は「優先度」フィールドの値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②優先度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の条件に一致したら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、不一致の場合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FALSE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を挿入</a:t>
          </a:r>
        </a:p>
      </xdr:txBody>
    </xdr:sp>
    <xdr:clientData/>
  </xdr:twoCellAnchor>
  <xdr:twoCellAnchor>
    <xdr:from>
      <xdr:col>87</xdr:col>
      <xdr:colOff>14287</xdr:colOff>
      <xdr:row>68</xdr:row>
      <xdr:rowOff>85726</xdr:rowOff>
    </xdr:from>
    <xdr:to>
      <xdr:col>94</xdr:col>
      <xdr:colOff>119062</xdr:colOff>
      <xdr:row>70</xdr:row>
      <xdr:rowOff>142876</xdr:rowOff>
    </xdr:to>
    <xdr:sp macro="" textlink="">
      <xdr:nvSpPr>
        <xdr:cNvPr id="229" name="フローチャート: データ 228">
          <a:extLst>
            <a:ext uri="{FF2B5EF4-FFF2-40B4-BE49-F238E27FC236}">
              <a16:creationId xmlns:a16="http://schemas.microsoft.com/office/drawing/2014/main" id="{62719ACA-BFEC-40E7-BC20-A015043ACB0E}"/>
            </a:ext>
          </a:extLst>
        </xdr:cNvPr>
        <xdr:cNvSpPr/>
      </xdr:nvSpPr>
      <xdr:spPr>
        <a:xfrm>
          <a:off x="14873287" y="13211176"/>
          <a:ext cx="1438275" cy="438150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優先度</a:t>
          </a:r>
          <a:r>
            <a:rPr kumimoji="1"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X']</a:t>
          </a:r>
        </a:p>
      </xdr:txBody>
    </xdr:sp>
    <xdr:clientData/>
  </xdr:twoCellAnchor>
  <xdr:twoCellAnchor>
    <xdr:from>
      <xdr:col>76</xdr:col>
      <xdr:colOff>98531</xdr:colOff>
      <xdr:row>57</xdr:row>
      <xdr:rowOff>180976</xdr:rowOff>
    </xdr:from>
    <xdr:to>
      <xdr:col>86</xdr:col>
      <xdr:colOff>127106</xdr:colOff>
      <xdr:row>59</xdr:row>
      <xdr:rowOff>83483</xdr:rowOff>
    </xdr:to>
    <xdr:sp macro="" textlink="">
      <xdr:nvSpPr>
        <xdr:cNvPr id="230" name="片側の 2 つの角を切り取った四角形 152">
          <a:extLst>
            <a:ext uri="{FF2B5EF4-FFF2-40B4-BE49-F238E27FC236}">
              <a16:creationId xmlns:a16="http://schemas.microsoft.com/office/drawing/2014/main" id="{C97DCC57-1321-4CF2-9016-9AA21B62B7A1}"/>
            </a:ext>
          </a:extLst>
        </xdr:cNvPr>
        <xdr:cNvSpPr/>
      </xdr:nvSpPr>
      <xdr:spPr>
        <a:xfrm>
          <a:off x="12862031" y="11210926"/>
          <a:ext cx="1933575" cy="283507"/>
        </a:xfrm>
        <a:prstGeom prst="snip2SameRect">
          <a:avLst>
            <a:gd name="adj1" fmla="val 34445"/>
            <a:gd name="adj2" fmla="val 0"/>
          </a:avLst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「アラート条件マスタ」ループ</a:t>
          </a:r>
        </a:p>
      </xdr:txBody>
    </xdr:sp>
    <xdr:clientData/>
  </xdr:twoCellAnchor>
  <xdr:twoCellAnchor>
    <xdr:from>
      <xdr:col>76</xdr:col>
      <xdr:colOff>98531</xdr:colOff>
      <xdr:row>73</xdr:row>
      <xdr:rowOff>19050</xdr:rowOff>
    </xdr:from>
    <xdr:to>
      <xdr:col>86</xdr:col>
      <xdr:colOff>127106</xdr:colOff>
      <xdr:row>74</xdr:row>
      <xdr:rowOff>47626</xdr:rowOff>
    </xdr:to>
    <xdr:sp macro="" textlink="">
      <xdr:nvSpPr>
        <xdr:cNvPr id="231" name="片側の 2 つの角を切り取った四角形 153">
          <a:extLst>
            <a:ext uri="{FF2B5EF4-FFF2-40B4-BE49-F238E27FC236}">
              <a16:creationId xmlns:a16="http://schemas.microsoft.com/office/drawing/2014/main" id="{537E41DB-039F-41A8-9C28-DC9DFAC37527}"/>
            </a:ext>
          </a:extLst>
        </xdr:cNvPr>
        <xdr:cNvSpPr/>
      </xdr:nvSpPr>
      <xdr:spPr>
        <a:xfrm rot="10800000">
          <a:off x="12862031" y="14097000"/>
          <a:ext cx="1933575" cy="219076"/>
        </a:xfrm>
        <a:prstGeom prst="snip2SameRect">
          <a:avLst>
            <a:gd name="adj1" fmla="val 34445"/>
            <a:gd name="adj2" fmla="val 0"/>
          </a:avLst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179493</xdr:colOff>
      <xdr:row>40</xdr:row>
      <xdr:rowOff>67875</xdr:rowOff>
    </xdr:from>
    <xdr:to>
      <xdr:col>81</xdr:col>
      <xdr:colOff>112818</xdr:colOff>
      <xdr:row>44</xdr:row>
      <xdr:rowOff>114300</xdr:rowOff>
    </xdr:to>
    <xdr:cxnSp macro="">
      <xdr:nvCxnSpPr>
        <xdr:cNvPr id="232" name="カギ線コネクタ 61">
          <a:extLst>
            <a:ext uri="{FF2B5EF4-FFF2-40B4-BE49-F238E27FC236}">
              <a16:creationId xmlns:a16="http://schemas.microsoft.com/office/drawing/2014/main" id="{690AB8D5-8322-4AB2-8934-9B02741BAAE6}"/>
            </a:ext>
          </a:extLst>
        </xdr:cNvPr>
        <xdr:cNvCxnSpPr>
          <a:cxnSpLocks/>
          <a:stCxn id="224" idx="2"/>
          <a:endCxn id="225" idx="0"/>
        </xdr:cNvCxnSpPr>
      </xdr:nvCxnSpPr>
      <xdr:spPr>
        <a:xfrm rot="16200000" flipH="1">
          <a:off x="12410193" y="7249125"/>
          <a:ext cx="808425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106469</xdr:colOff>
      <xdr:row>46</xdr:row>
      <xdr:rowOff>45650</xdr:rowOff>
    </xdr:from>
    <xdr:to>
      <xdr:col>81</xdr:col>
      <xdr:colOff>119169</xdr:colOff>
      <xdr:row>48</xdr:row>
      <xdr:rowOff>125413</xdr:rowOff>
    </xdr:to>
    <xdr:cxnSp macro="">
      <xdr:nvCxnSpPr>
        <xdr:cNvPr id="233" name="カギ線コネクタ 61">
          <a:extLst>
            <a:ext uri="{FF2B5EF4-FFF2-40B4-BE49-F238E27FC236}">
              <a16:creationId xmlns:a16="http://schemas.microsoft.com/office/drawing/2014/main" id="{C978DAC2-BB2A-44DA-B7AD-39E66BC7B65B}"/>
            </a:ext>
          </a:extLst>
        </xdr:cNvPr>
        <xdr:cNvCxnSpPr>
          <a:cxnSpLocks/>
          <a:stCxn id="225" idx="2"/>
          <a:endCxn id="226" idx="0"/>
        </xdr:cNvCxnSpPr>
      </xdr:nvCxnSpPr>
      <xdr:spPr>
        <a:xfrm rot="5400000">
          <a:off x="13598437" y="9204132"/>
          <a:ext cx="460763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106468</xdr:colOff>
      <xdr:row>50</xdr:row>
      <xdr:rowOff>50414</xdr:rowOff>
    </xdr:from>
    <xdr:to>
      <xdr:col>81</xdr:col>
      <xdr:colOff>119168</xdr:colOff>
      <xdr:row>52</xdr:row>
      <xdr:rowOff>130176</xdr:rowOff>
    </xdr:to>
    <xdr:cxnSp macro="">
      <xdr:nvCxnSpPr>
        <xdr:cNvPr id="234" name="カギ線コネクタ 61">
          <a:extLst>
            <a:ext uri="{FF2B5EF4-FFF2-40B4-BE49-F238E27FC236}">
              <a16:creationId xmlns:a16="http://schemas.microsoft.com/office/drawing/2014/main" id="{39B567DF-5C8D-4490-BA65-DFC9EC0BB70D}"/>
            </a:ext>
          </a:extLst>
        </xdr:cNvPr>
        <xdr:cNvCxnSpPr>
          <a:cxnSpLocks/>
          <a:stCxn id="226" idx="2"/>
          <a:endCxn id="227" idx="0"/>
        </xdr:cNvCxnSpPr>
      </xdr:nvCxnSpPr>
      <xdr:spPr>
        <a:xfrm rot="5400000">
          <a:off x="13598437" y="9970895"/>
          <a:ext cx="460762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106468</xdr:colOff>
      <xdr:row>27</xdr:row>
      <xdr:rowOff>41275</xdr:rowOff>
    </xdr:from>
    <xdr:to>
      <xdr:col>81</xdr:col>
      <xdr:colOff>119168</xdr:colOff>
      <xdr:row>44</xdr:row>
      <xdr:rowOff>120651</xdr:rowOff>
    </xdr:to>
    <xdr:cxnSp macro="">
      <xdr:nvCxnSpPr>
        <xdr:cNvPr id="235" name="カギ線コネクタ 61">
          <a:extLst>
            <a:ext uri="{FF2B5EF4-FFF2-40B4-BE49-F238E27FC236}">
              <a16:creationId xmlns:a16="http://schemas.microsoft.com/office/drawing/2014/main" id="{B3FDBE59-5BF9-4D6A-8DE1-B4DE9B41E838}"/>
            </a:ext>
          </a:extLst>
        </xdr:cNvPr>
        <xdr:cNvCxnSpPr>
          <a:cxnSpLocks/>
          <a:stCxn id="290" idx="2"/>
          <a:endCxn id="225" idx="0"/>
        </xdr:cNvCxnSpPr>
      </xdr:nvCxnSpPr>
      <xdr:spPr>
        <a:xfrm rot="5400000">
          <a:off x="12169880" y="7008813"/>
          <a:ext cx="3317876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112817</xdr:colOff>
      <xdr:row>54</xdr:row>
      <xdr:rowOff>48826</xdr:rowOff>
    </xdr:from>
    <xdr:to>
      <xdr:col>81</xdr:col>
      <xdr:colOff>112818</xdr:colOff>
      <xdr:row>57</xdr:row>
      <xdr:rowOff>180976</xdr:rowOff>
    </xdr:to>
    <xdr:cxnSp macro="">
      <xdr:nvCxnSpPr>
        <xdr:cNvPr id="236" name="カギ線コネクタ 61">
          <a:extLst>
            <a:ext uri="{FF2B5EF4-FFF2-40B4-BE49-F238E27FC236}">
              <a16:creationId xmlns:a16="http://schemas.microsoft.com/office/drawing/2014/main" id="{8905D7EF-8B98-4F9A-B3FD-ABBE6B706BF1}"/>
            </a:ext>
          </a:extLst>
        </xdr:cNvPr>
        <xdr:cNvCxnSpPr>
          <a:cxnSpLocks/>
          <a:stCxn id="227" idx="2"/>
          <a:endCxn id="230" idx="3"/>
        </xdr:cNvCxnSpPr>
      </xdr:nvCxnSpPr>
      <xdr:spPr>
        <a:xfrm rot="16200000" flipH="1">
          <a:off x="13476993" y="10859100"/>
          <a:ext cx="703650" cy="1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112819</xdr:colOff>
      <xdr:row>59</xdr:row>
      <xdr:rowOff>83483</xdr:rowOff>
    </xdr:from>
    <xdr:to>
      <xdr:col>81</xdr:col>
      <xdr:colOff>112820</xdr:colOff>
      <xdr:row>61</xdr:row>
      <xdr:rowOff>123826</xdr:rowOff>
    </xdr:to>
    <xdr:cxnSp macro="">
      <xdr:nvCxnSpPr>
        <xdr:cNvPr id="237" name="カギ線コネクタ 61">
          <a:extLst>
            <a:ext uri="{FF2B5EF4-FFF2-40B4-BE49-F238E27FC236}">
              <a16:creationId xmlns:a16="http://schemas.microsoft.com/office/drawing/2014/main" id="{1DEA147E-F7B0-48A8-94B9-C3C6384B18F9}"/>
            </a:ext>
          </a:extLst>
        </xdr:cNvPr>
        <xdr:cNvCxnSpPr>
          <a:cxnSpLocks/>
          <a:stCxn id="230" idx="1"/>
          <a:endCxn id="241" idx="0"/>
        </xdr:cNvCxnSpPr>
      </xdr:nvCxnSpPr>
      <xdr:spPr>
        <a:xfrm rot="5400000">
          <a:off x="13618148" y="11705104"/>
          <a:ext cx="421343" cy="1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106468</xdr:colOff>
      <xdr:row>69</xdr:row>
      <xdr:rowOff>134192</xdr:rowOff>
    </xdr:from>
    <xdr:to>
      <xdr:col>81</xdr:col>
      <xdr:colOff>119168</xdr:colOff>
      <xdr:row>73</xdr:row>
      <xdr:rowOff>25400</xdr:rowOff>
    </xdr:to>
    <xdr:cxnSp macro="">
      <xdr:nvCxnSpPr>
        <xdr:cNvPr id="238" name="カギ線コネクタ 61">
          <a:extLst>
            <a:ext uri="{FF2B5EF4-FFF2-40B4-BE49-F238E27FC236}">
              <a16:creationId xmlns:a16="http://schemas.microsoft.com/office/drawing/2014/main" id="{A3781AA8-C879-4436-AD8D-55900E0F91DC}"/>
            </a:ext>
          </a:extLst>
        </xdr:cNvPr>
        <xdr:cNvCxnSpPr>
          <a:cxnSpLocks/>
          <a:stCxn id="228" idx="2"/>
          <a:endCxn id="231" idx="1"/>
        </xdr:cNvCxnSpPr>
      </xdr:nvCxnSpPr>
      <xdr:spPr>
        <a:xfrm rot="5400000">
          <a:off x="13502214" y="13770396"/>
          <a:ext cx="653208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80962</xdr:colOff>
      <xdr:row>35</xdr:row>
      <xdr:rowOff>152401</xdr:rowOff>
    </xdr:from>
    <xdr:to>
      <xdr:col>83</xdr:col>
      <xdr:colOff>90487</xdr:colOff>
      <xdr:row>37</xdr:row>
      <xdr:rowOff>133351</xdr:rowOff>
    </xdr:to>
    <xdr:sp macro="" textlink="">
      <xdr:nvSpPr>
        <xdr:cNvPr id="239" name="線吹き出し 1 51">
          <a:extLst>
            <a:ext uri="{FF2B5EF4-FFF2-40B4-BE49-F238E27FC236}">
              <a16:creationId xmlns:a16="http://schemas.microsoft.com/office/drawing/2014/main" id="{40E78C12-2751-4185-9355-9C6FC1CA710F}"/>
            </a:ext>
          </a:extLst>
        </xdr:cNvPr>
        <xdr:cNvSpPr/>
      </xdr:nvSpPr>
      <xdr:spPr>
        <a:xfrm>
          <a:off x="12272962" y="6419851"/>
          <a:ext cx="1914525" cy="361950"/>
        </a:xfrm>
        <a:prstGeom prst="callout1">
          <a:avLst>
            <a:gd name="adj1" fmla="val 43781"/>
            <a:gd name="adj2" fmla="val -4326"/>
            <a:gd name="adj3" fmla="val 142527"/>
            <a:gd name="adj4" fmla="val -16350"/>
          </a:avLst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日付列はテンプレートファイルで管理</a:t>
          </a:r>
          <a:endParaRPr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173144</xdr:colOff>
      <xdr:row>34</xdr:row>
      <xdr:rowOff>121850</xdr:rowOff>
    </xdr:from>
    <xdr:to>
      <xdr:col>70</xdr:col>
      <xdr:colOff>185844</xdr:colOff>
      <xdr:row>38</xdr:row>
      <xdr:rowOff>149225</xdr:rowOff>
    </xdr:to>
    <xdr:cxnSp macro="">
      <xdr:nvCxnSpPr>
        <xdr:cNvPr id="240" name="カギ線コネクタ 61">
          <a:extLst>
            <a:ext uri="{FF2B5EF4-FFF2-40B4-BE49-F238E27FC236}">
              <a16:creationId xmlns:a16="http://schemas.microsoft.com/office/drawing/2014/main" id="{5D0F8655-6AC9-48F7-A477-99F30D40BF4D}"/>
            </a:ext>
          </a:extLst>
        </xdr:cNvPr>
        <xdr:cNvCxnSpPr>
          <a:cxnSpLocks/>
          <a:stCxn id="220" idx="2"/>
          <a:endCxn id="224" idx="0"/>
        </xdr:cNvCxnSpPr>
      </xdr:nvCxnSpPr>
      <xdr:spPr>
        <a:xfrm rot="5400000">
          <a:off x="11405306" y="7158638"/>
          <a:ext cx="78937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61</xdr:row>
      <xdr:rowOff>123826</xdr:rowOff>
    </xdr:from>
    <xdr:to>
      <xdr:col>89</xdr:col>
      <xdr:colOff>75618</xdr:colOff>
      <xdr:row>63</xdr:row>
      <xdr:rowOff>48826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80FC9981-484B-4C2A-864E-4D5800D1D947}"/>
            </a:ext>
          </a:extLst>
        </xdr:cNvPr>
        <xdr:cNvSpPr/>
      </xdr:nvSpPr>
      <xdr:spPr>
        <a:xfrm>
          <a:off x="12342018" y="11915776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種別での出し分け</a:t>
          </a:r>
        </a:p>
      </xdr:txBody>
    </xdr:sp>
    <xdr:clientData/>
  </xdr:twoCellAnchor>
  <xdr:twoCellAnchor>
    <xdr:from>
      <xdr:col>81</xdr:col>
      <xdr:colOff>106468</xdr:colOff>
      <xdr:row>63</xdr:row>
      <xdr:rowOff>55176</xdr:rowOff>
    </xdr:from>
    <xdr:to>
      <xdr:col>81</xdr:col>
      <xdr:colOff>119168</xdr:colOff>
      <xdr:row>66</xdr:row>
      <xdr:rowOff>92</xdr:rowOff>
    </xdr:to>
    <xdr:cxnSp macro="">
      <xdr:nvCxnSpPr>
        <xdr:cNvPr id="242" name="カギ線コネクタ 61">
          <a:extLst>
            <a:ext uri="{FF2B5EF4-FFF2-40B4-BE49-F238E27FC236}">
              <a16:creationId xmlns:a16="http://schemas.microsoft.com/office/drawing/2014/main" id="{E8BA0A46-C6D3-4A78-8CB4-DBEE728273F7}"/>
            </a:ext>
          </a:extLst>
        </xdr:cNvPr>
        <xdr:cNvCxnSpPr>
          <a:cxnSpLocks/>
          <a:stCxn id="241" idx="2"/>
          <a:endCxn id="228" idx="0"/>
        </xdr:cNvCxnSpPr>
      </xdr:nvCxnSpPr>
      <xdr:spPr>
        <a:xfrm rot="5400000">
          <a:off x="13570610" y="12479984"/>
          <a:ext cx="516416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77</xdr:row>
      <xdr:rowOff>171450</xdr:rowOff>
    </xdr:from>
    <xdr:to>
      <xdr:col>89</xdr:col>
      <xdr:colOff>75618</xdr:colOff>
      <xdr:row>80</xdr:row>
      <xdr:rowOff>103950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6867FC60-F6E5-4078-90FD-6FFCC60C14AC}"/>
            </a:ext>
          </a:extLst>
        </xdr:cNvPr>
        <xdr:cNvSpPr/>
      </xdr:nvSpPr>
      <xdr:spPr>
        <a:xfrm>
          <a:off x="12342018" y="15011400"/>
          <a:ext cx="2973600" cy="504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になっている最初の「列名」を挿入</a:t>
          </a:r>
        </a:p>
      </xdr:txBody>
    </xdr:sp>
    <xdr:clientData/>
  </xdr:twoCellAnchor>
  <xdr:twoCellAnchor>
    <xdr:from>
      <xdr:col>86</xdr:col>
      <xdr:colOff>85725</xdr:colOff>
      <xdr:row>79</xdr:row>
      <xdr:rowOff>88901</xdr:rowOff>
    </xdr:from>
    <xdr:to>
      <xdr:col>96</xdr:col>
      <xdr:colOff>95250</xdr:colOff>
      <xdr:row>81</xdr:row>
      <xdr:rowOff>136525</xdr:rowOff>
    </xdr:to>
    <xdr:sp macro="" textlink="">
      <xdr:nvSpPr>
        <xdr:cNvPr id="246" name="フローチャート: データ 245">
          <a:extLst>
            <a:ext uri="{FF2B5EF4-FFF2-40B4-BE49-F238E27FC236}">
              <a16:creationId xmlns:a16="http://schemas.microsoft.com/office/drawing/2014/main" id="{B88F245E-D1D5-45CE-9C3B-2298B564AA58}"/>
            </a:ext>
          </a:extLst>
        </xdr:cNvPr>
        <xdr:cNvSpPr/>
      </xdr:nvSpPr>
      <xdr:spPr>
        <a:xfrm>
          <a:off x="14754225" y="15309851"/>
          <a:ext cx="1914525" cy="428624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df['PUSH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</xdr:txBody>
    </xdr:sp>
    <xdr:clientData/>
  </xdr:twoCellAnchor>
  <xdr:twoCellAnchor>
    <xdr:from>
      <xdr:col>81</xdr:col>
      <xdr:colOff>106468</xdr:colOff>
      <xdr:row>74</xdr:row>
      <xdr:rowOff>53976</xdr:rowOff>
    </xdr:from>
    <xdr:to>
      <xdr:col>81</xdr:col>
      <xdr:colOff>119168</xdr:colOff>
      <xdr:row>77</xdr:row>
      <xdr:rowOff>177800</xdr:rowOff>
    </xdr:to>
    <xdr:cxnSp macro="">
      <xdr:nvCxnSpPr>
        <xdr:cNvPr id="247" name="カギ線コネクタ 61">
          <a:extLst>
            <a:ext uri="{FF2B5EF4-FFF2-40B4-BE49-F238E27FC236}">
              <a16:creationId xmlns:a16="http://schemas.microsoft.com/office/drawing/2014/main" id="{BD0BF3E4-62FC-4475-9867-E0CD5700C39B}"/>
            </a:ext>
          </a:extLst>
        </xdr:cNvPr>
        <xdr:cNvCxnSpPr>
          <a:cxnSpLocks/>
          <a:stCxn id="231" idx="3"/>
          <a:endCxn id="245" idx="0"/>
        </xdr:cNvCxnSpPr>
      </xdr:nvCxnSpPr>
      <xdr:spPr>
        <a:xfrm rot="5400000">
          <a:off x="13481156" y="14663738"/>
          <a:ext cx="695324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83</xdr:row>
      <xdr:rowOff>104775</xdr:rowOff>
    </xdr:from>
    <xdr:to>
      <xdr:col>89</xdr:col>
      <xdr:colOff>75618</xdr:colOff>
      <xdr:row>86</xdr:row>
      <xdr:rowOff>133351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0103B39C-EBD9-452D-8C1B-D71767F4CBEE}"/>
            </a:ext>
          </a:extLst>
        </xdr:cNvPr>
        <xdr:cNvSpPr/>
      </xdr:nvSpPr>
      <xdr:spPr>
        <a:xfrm>
          <a:off x="12342018" y="16087725"/>
          <a:ext cx="2973600" cy="600076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チェック」の列名から優先度を取得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アラート条件マスタの「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対象区分」の値へ置換</a:t>
          </a:r>
          <a:endParaRPr kumimoji="1" lang="ja-JP" altLang="en-US" sz="9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106469</xdr:colOff>
      <xdr:row>80</xdr:row>
      <xdr:rowOff>110299</xdr:rowOff>
    </xdr:from>
    <xdr:to>
      <xdr:col>81</xdr:col>
      <xdr:colOff>119169</xdr:colOff>
      <xdr:row>83</xdr:row>
      <xdr:rowOff>111124</xdr:rowOff>
    </xdr:to>
    <xdr:cxnSp macro="">
      <xdr:nvCxnSpPr>
        <xdr:cNvPr id="251" name="カギ線コネクタ 61">
          <a:extLst>
            <a:ext uri="{FF2B5EF4-FFF2-40B4-BE49-F238E27FC236}">
              <a16:creationId xmlns:a16="http://schemas.microsoft.com/office/drawing/2014/main" id="{822012FA-1D1E-421E-8093-C0AE46C53DC2}"/>
            </a:ext>
          </a:extLst>
        </xdr:cNvPr>
        <xdr:cNvCxnSpPr>
          <a:cxnSpLocks/>
          <a:stCxn id="245" idx="2"/>
          <a:endCxn id="250" idx="0"/>
        </xdr:cNvCxnSpPr>
      </xdr:nvCxnSpPr>
      <xdr:spPr>
        <a:xfrm rot="5400000">
          <a:off x="13542656" y="15801562"/>
          <a:ext cx="57232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26193</xdr:colOff>
      <xdr:row>106</xdr:row>
      <xdr:rowOff>3175</xdr:rowOff>
    </xdr:from>
    <xdr:to>
      <xdr:col>78</xdr:col>
      <xdr:colOff>142293</xdr:colOff>
      <xdr:row>107</xdr:row>
      <xdr:rowOff>118675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AFE24F01-899C-4B46-BF13-0D1EEEA47878}"/>
            </a:ext>
          </a:extLst>
        </xdr:cNvPr>
        <xdr:cNvSpPr/>
      </xdr:nvSpPr>
      <xdr:spPr>
        <a:xfrm>
          <a:off x="10313193" y="20367625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データ取込時作成された不要な列（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Unnamed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）を削除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66675</xdr:colOff>
      <xdr:row>9</xdr:row>
      <xdr:rowOff>117475</xdr:rowOff>
    </xdr:from>
    <xdr:to>
      <xdr:col>62</xdr:col>
      <xdr:colOff>41275</xdr:colOff>
      <xdr:row>14</xdr:row>
      <xdr:rowOff>60325</xdr:rowOff>
    </xdr:to>
    <xdr:grpSp>
      <xdr:nvGrpSpPr>
        <xdr:cNvPr id="267" name="グループ化 266">
          <a:extLst>
            <a:ext uri="{FF2B5EF4-FFF2-40B4-BE49-F238E27FC236}">
              <a16:creationId xmlns:a16="http://schemas.microsoft.com/office/drawing/2014/main" id="{6A2659C7-871C-4E09-87F3-9F321E8E426D}"/>
            </a:ext>
          </a:extLst>
        </xdr:cNvPr>
        <xdr:cNvGrpSpPr/>
      </xdr:nvGrpSpPr>
      <xdr:grpSpPr>
        <a:xfrm>
          <a:off x="10096500" y="2003425"/>
          <a:ext cx="0" cy="895350"/>
          <a:chOff x="2247901" y="10233025"/>
          <a:chExt cx="1520825" cy="892175"/>
        </a:xfrm>
      </xdr:grpSpPr>
      <xdr:sp macro="" textlink="">
        <xdr:nvSpPr>
          <xdr:cNvPr id="268" name="1 つの角を切り取った四角形 50">
            <a:extLst>
              <a:ext uri="{FF2B5EF4-FFF2-40B4-BE49-F238E27FC236}">
                <a16:creationId xmlns:a16="http://schemas.microsoft.com/office/drawing/2014/main" id="{24655CCB-B9C2-CAF9-A1E1-FD932209F936}"/>
              </a:ext>
            </a:extLst>
          </xdr:cNvPr>
          <xdr:cNvSpPr/>
        </xdr:nvSpPr>
        <xdr:spPr>
          <a:xfrm>
            <a:off x="2247901" y="10233025"/>
            <a:ext cx="1520825" cy="892175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 w="127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Downloads</a:t>
            </a:r>
          </a:p>
        </xdr:txBody>
      </xdr:sp>
      <xdr:sp macro="" textlink="">
        <xdr:nvSpPr>
          <xdr:cNvPr id="269" name="フローチャート: 書類 268">
            <a:extLst>
              <a:ext uri="{FF2B5EF4-FFF2-40B4-BE49-F238E27FC236}">
                <a16:creationId xmlns:a16="http://schemas.microsoft.com/office/drawing/2014/main" id="{1126F288-D1C8-B12F-1F9E-5611D0125906}"/>
              </a:ext>
            </a:extLst>
          </xdr:cNvPr>
          <xdr:cNvSpPr/>
        </xdr:nvSpPr>
        <xdr:spPr>
          <a:xfrm>
            <a:off x="2336800" y="10325100"/>
            <a:ext cx="1181100" cy="6064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 w="127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CL</a:t>
            </a:r>
            <a:r>
              <a:rPr kumimoji="1" lang="ja-JP" altLang="en-US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向け案件アラート表一覧</a:t>
            </a:r>
            <a:r>
              <a:rPr kumimoji="1" lang="en-US" altLang="ja-JP" sz="900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.csv</a:t>
            </a:r>
          </a:p>
        </xdr:txBody>
      </xdr:sp>
    </xdr:grpSp>
    <xdr:clientData/>
  </xdr:twoCellAnchor>
  <xdr:twoCellAnchor>
    <xdr:from>
      <xdr:col>76</xdr:col>
      <xdr:colOff>62718</xdr:colOff>
      <xdr:row>6</xdr:row>
      <xdr:rowOff>180975</xdr:rowOff>
    </xdr:from>
    <xdr:to>
      <xdr:col>86</xdr:col>
      <xdr:colOff>162918</xdr:colOff>
      <xdr:row>9</xdr:row>
      <xdr:rowOff>15875</xdr:rowOff>
    </xdr:to>
    <xdr:sp macro="" textlink="">
      <xdr:nvSpPr>
        <xdr:cNvPr id="270" name="フローチャート: 手操作入力 269">
          <a:extLst>
            <a:ext uri="{FF2B5EF4-FFF2-40B4-BE49-F238E27FC236}">
              <a16:creationId xmlns:a16="http://schemas.microsoft.com/office/drawing/2014/main" id="{E442F24F-E683-438C-9ADE-7F3D43724E0E}"/>
            </a:ext>
          </a:extLst>
        </xdr:cNvPr>
        <xdr:cNvSpPr/>
      </xdr:nvSpPr>
      <xdr:spPr>
        <a:xfrm>
          <a:off x="12826218" y="1495425"/>
          <a:ext cx="2005200" cy="406400"/>
        </a:xfrm>
        <a:prstGeom prst="flowChartManualInpu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exe</a:t>
          </a:r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実行</a:t>
          </a:r>
        </a:p>
      </xdr:txBody>
    </xdr:sp>
    <xdr:clientData/>
  </xdr:twoCellAnchor>
  <xdr:twoCellAnchor>
    <xdr:from>
      <xdr:col>65</xdr:col>
      <xdr:colOff>128693</xdr:colOff>
      <xdr:row>11</xdr:row>
      <xdr:rowOff>47625</xdr:rowOff>
    </xdr:from>
    <xdr:to>
      <xdr:col>76</xdr:col>
      <xdr:colOff>39793</xdr:colOff>
      <xdr:row>13</xdr:row>
      <xdr:rowOff>73425</xdr:rowOff>
    </xdr:to>
    <xdr:sp macro="" textlink="">
      <xdr:nvSpPr>
        <xdr:cNvPr id="271" name="フローチャート: 手操作入力 270">
          <a:extLst>
            <a:ext uri="{FF2B5EF4-FFF2-40B4-BE49-F238E27FC236}">
              <a16:creationId xmlns:a16="http://schemas.microsoft.com/office/drawing/2014/main" id="{68231239-A942-4E04-B4F9-59D509B8D82D}"/>
            </a:ext>
          </a:extLst>
        </xdr:cNvPr>
        <xdr:cNvSpPr/>
      </xdr:nvSpPr>
      <xdr:spPr>
        <a:xfrm>
          <a:off x="10796693" y="2314575"/>
          <a:ext cx="2006600" cy="406800"/>
        </a:xfrm>
        <a:prstGeom prst="flowChartManualInpu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ファイル選択ダイアログで</a:t>
          </a:r>
          <a:r>
            <a:rPr kumimoji="1"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取込</a:t>
          </a:r>
        </a:p>
      </xdr:txBody>
    </xdr:sp>
    <xdr:clientData/>
  </xdr:twoCellAnchor>
  <xdr:twoCellAnchor>
    <xdr:from>
      <xdr:col>74</xdr:col>
      <xdr:colOff>187323</xdr:colOff>
      <xdr:row>12</xdr:row>
      <xdr:rowOff>98425</xdr:rowOff>
    </xdr:from>
    <xdr:to>
      <xdr:col>80</xdr:col>
      <xdr:colOff>22223</xdr:colOff>
      <xdr:row>14</xdr:row>
      <xdr:rowOff>23952</xdr:rowOff>
    </xdr:to>
    <xdr:sp macro="" textlink="">
      <xdr:nvSpPr>
        <xdr:cNvPr id="272" name="フローチャート: データ 271">
          <a:extLst>
            <a:ext uri="{FF2B5EF4-FFF2-40B4-BE49-F238E27FC236}">
              <a16:creationId xmlns:a16="http://schemas.microsoft.com/office/drawing/2014/main" id="{85A28F30-3716-4329-994C-575C9675A986}"/>
            </a:ext>
          </a:extLst>
        </xdr:cNvPr>
        <xdr:cNvSpPr/>
      </xdr:nvSpPr>
      <xdr:spPr>
        <a:xfrm>
          <a:off x="12569823" y="2555875"/>
          <a:ext cx="977900" cy="306527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179493</xdr:colOff>
      <xdr:row>9</xdr:row>
      <xdr:rowOff>15876</xdr:rowOff>
    </xdr:from>
    <xdr:to>
      <xdr:col>81</xdr:col>
      <xdr:colOff>112818</xdr:colOff>
      <xdr:row>11</xdr:row>
      <xdr:rowOff>88306</xdr:rowOff>
    </xdr:to>
    <xdr:cxnSp macro="">
      <xdr:nvCxnSpPr>
        <xdr:cNvPr id="273" name="カギ線コネクタ 61">
          <a:extLst>
            <a:ext uri="{FF2B5EF4-FFF2-40B4-BE49-F238E27FC236}">
              <a16:creationId xmlns:a16="http://schemas.microsoft.com/office/drawing/2014/main" id="{82D3D3D9-D411-4FA7-AD55-C0DFCBCDF5E4}"/>
            </a:ext>
          </a:extLst>
        </xdr:cNvPr>
        <xdr:cNvCxnSpPr>
          <a:stCxn id="270" idx="2"/>
          <a:endCxn id="271" idx="0"/>
        </xdr:cNvCxnSpPr>
      </xdr:nvCxnSpPr>
      <xdr:spPr>
        <a:xfrm rot="5400000">
          <a:off x="12587691" y="1114128"/>
          <a:ext cx="453430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175115</xdr:colOff>
      <xdr:row>11</xdr:row>
      <xdr:rowOff>133170</xdr:rowOff>
    </xdr:from>
    <xdr:to>
      <xdr:col>65</xdr:col>
      <xdr:colOff>128693</xdr:colOff>
      <xdr:row>12</xdr:row>
      <xdr:rowOff>60525</xdr:rowOff>
    </xdr:to>
    <xdr:cxnSp macro="">
      <xdr:nvCxnSpPr>
        <xdr:cNvPr id="274" name="カギ線コネクタ 59">
          <a:extLst>
            <a:ext uri="{FF2B5EF4-FFF2-40B4-BE49-F238E27FC236}">
              <a16:creationId xmlns:a16="http://schemas.microsoft.com/office/drawing/2014/main" id="{0DDB323B-7CB3-4C67-A503-B875C44AC897}"/>
            </a:ext>
          </a:extLst>
        </xdr:cNvPr>
        <xdr:cNvCxnSpPr>
          <a:stCxn id="269" idx="3"/>
          <a:endCxn id="271" idx="1"/>
        </xdr:cNvCxnSpPr>
      </xdr:nvCxnSpPr>
      <xdr:spPr>
        <a:xfrm>
          <a:off x="11605115" y="2400120"/>
          <a:ext cx="906078" cy="117855"/>
        </a:xfrm>
        <a:prstGeom prst="bentConnector3">
          <a:avLst>
            <a:gd name="adj1" fmla="val 50000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112817</xdr:colOff>
      <xdr:row>9</xdr:row>
      <xdr:rowOff>15875</xdr:rowOff>
    </xdr:from>
    <xdr:to>
      <xdr:col>91</xdr:col>
      <xdr:colOff>142874</xdr:colOff>
      <xdr:row>11</xdr:row>
      <xdr:rowOff>85725</xdr:rowOff>
    </xdr:to>
    <xdr:cxnSp macro="">
      <xdr:nvCxnSpPr>
        <xdr:cNvPr id="276" name="カギ線コネクタ 61">
          <a:extLst>
            <a:ext uri="{FF2B5EF4-FFF2-40B4-BE49-F238E27FC236}">
              <a16:creationId xmlns:a16="http://schemas.microsoft.com/office/drawing/2014/main" id="{6985C0DE-4BF2-4F01-987E-D2E7A1BB3DB5}"/>
            </a:ext>
          </a:extLst>
        </xdr:cNvPr>
        <xdr:cNvCxnSpPr>
          <a:stCxn id="270" idx="2"/>
          <a:endCxn id="218" idx="0"/>
        </xdr:cNvCxnSpPr>
      </xdr:nvCxnSpPr>
      <xdr:spPr>
        <a:xfrm rot="16200000" flipH="1">
          <a:off x="14570921" y="1159721"/>
          <a:ext cx="450850" cy="193505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20743</xdr:colOff>
      <xdr:row>21</xdr:row>
      <xdr:rowOff>31749</xdr:rowOff>
    </xdr:from>
    <xdr:to>
      <xdr:col>88</xdr:col>
      <xdr:colOff>14393</xdr:colOff>
      <xdr:row>26</xdr:row>
      <xdr:rowOff>33249</xdr:rowOff>
    </xdr:to>
    <xdr:sp macro="" textlink="">
      <xdr:nvSpPr>
        <xdr:cNvPr id="288" name="フローチャート: 判断 287">
          <a:extLst>
            <a:ext uri="{FF2B5EF4-FFF2-40B4-BE49-F238E27FC236}">
              <a16:creationId xmlns:a16="http://schemas.microsoft.com/office/drawing/2014/main" id="{175D8B81-E4EE-4F32-AC28-5719E0BD5BA2}"/>
            </a:ext>
          </a:extLst>
        </xdr:cNvPr>
        <xdr:cNvSpPr/>
      </xdr:nvSpPr>
      <xdr:spPr>
        <a:xfrm>
          <a:off x="12593743" y="4203699"/>
          <a:ext cx="2470150" cy="954000"/>
        </a:xfrm>
        <a:prstGeom prst="flowChartDecision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データが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件以上ある</a:t>
          </a:r>
        </a:p>
      </xdr:txBody>
    </xdr:sp>
    <xdr:clientData/>
  </xdr:twoCellAnchor>
  <xdr:twoCellAnchor>
    <xdr:from>
      <xdr:col>91</xdr:col>
      <xdr:colOff>72862</xdr:colOff>
      <xdr:row>22</xdr:row>
      <xdr:rowOff>153149</xdr:rowOff>
    </xdr:from>
    <xdr:to>
      <xdr:col>97</xdr:col>
      <xdr:colOff>56987</xdr:colOff>
      <xdr:row>24</xdr:row>
      <xdr:rowOff>102349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4AC51603-9381-42A3-BDA6-CE84757B76DF}"/>
            </a:ext>
          </a:extLst>
        </xdr:cNvPr>
        <xdr:cNvSpPr/>
      </xdr:nvSpPr>
      <xdr:spPr>
        <a:xfrm>
          <a:off x="15693862" y="4515599"/>
          <a:ext cx="1127125" cy="3302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メッセージで終了</a:t>
          </a:r>
        </a:p>
      </xdr:txBody>
    </xdr:sp>
    <xdr:clientData/>
  </xdr:twoCellAnchor>
  <xdr:twoCellAnchor>
    <xdr:from>
      <xdr:col>80</xdr:col>
      <xdr:colOff>96943</xdr:colOff>
      <xdr:row>25</xdr:row>
      <xdr:rowOff>180976</xdr:rowOff>
    </xdr:from>
    <xdr:to>
      <xdr:col>82</xdr:col>
      <xdr:colOff>128693</xdr:colOff>
      <xdr:row>27</xdr:row>
      <xdr:rowOff>34925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6049A633-3B76-4C21-8401-BAB8C6C0BF3F}"/>
            </a:ext>
          </a:extLst>
        </xdr:cNvPr>
        <xdr:cNvSpPr/>
      </xdr:nvSpPr>
      <xdr:spPr>
        <a:xfrm flipH="1">
          <a:off x="13622443" y="5114926"/>
          <a:ext cx="412750" cy="234949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66674</xdr:colOff>
      <xdr:row>23</xdr:row>
      <xdr:rowOff>5512</xdr:rowOff>
    </xdr:from>
    <xdr:to>
      <xdr:col>89</xdr:col>
      <xdr:colOff>98424</xdr:colOff>
      <xdr:row>24</xdr:row>
      <xdr:rowOff>59486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E2C79D45-D49D-4723-8E03-2E8519EF1F3E}"/>
            </a:ext>
          </a:extLst>
        </xdr:cNvPr>
        <xdr:cNvSpPr/>
      </xdr:nvSpPr>
      <xdr:spPr>
        <a:xfrm flipH="1">
          <a:off x="14925674" y="4558462"/>
          <a:ext cx="412750" cy="244474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26193</xdr:colOff>
      <xdr:row>17</xdr:row>
      <xdr:rowOff>66675</xdr:rowOff>
    </xdr:from>
    <xdr:to>
      <xdr:col>78</xdr:col>
      <xdr:colOff>142293</xdr:colOff>
      <xdr:row>18</xdr:row>
      <xdr:rowOff>180975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F58290E8-7375-408A-B831-548E8471C358}"/>
            </a:ext>
          </a:extLst>
        </xdr:cNvPr>
        <xdr:cNvSpPr/>
      </xdr:nvSpPr>
      <xdr:spPr>
        <a:xfrm>
          <a:off x="10313193" y="3476625"/>
          <a:ext cx="2973600" cy="3048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object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型（文字列）の列に対して前後の空白を削除</a:t>
          </a:r>
        </a:p>
      </xdr:txBody>
    </xdr:sp>
    <xdr:clientData/>
  </xdr:twoCellAnchor>
  <xdr:twoCellAnchor>
    <xdr:from>
      <xdr:col>70</xdr:col>
      <xdr:colOff>179492</xdr:colOff>
      <xdr:row>18</xdr:row>
      <xdr:rowOff>180975</xdr:rowOff>
    </xdr:from>
    <xdr:to>
      <xdr:col>81</xdr:col>
      <xdr:colOff>112817</xdr:colOff>
      <xdr:row>21</xdr:row>
      <xdr:rowOff>31749</xdr:rowOff>
    </xdr:to>
    <xdr:cxnSp macro="">
      <xdr:nvCxnSpPr>
        <xdr:cNvPr id="293" name="カギ線コネクタ 61">
          <a:extLst>
            <a:ext uri="{FF2B5EF4-FFF2-40B4-BE49-F238E27FC236}">
              <a16:creationId xmlns:a16="http://schemas.microsoft.com/office/drawing/2014/main" id="{2C7AB445-E4B2-4679-81AE-47B2167B40A3}"/>
            </a:ext>
          </a:extLst>
        </xdr:cNvPr>
        <xdr:cNvCxnSpPr>
          <a:stCxn id="292" idx="2"/>
          <a:endCxn id="288" idx="0"/>
        </xdr:cNvCxnSpPr>
      </xdr:nvCxnSpPr>
      <xdr:spPr>
        <a:xfrm rot="16200000" flipH="1">
          <a:off x="12603268" y="2978149"/>
          <a:ext cx="422274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98424</xdr:colOff>
      <xdr:row>23</xdr:row>
      <xdr:rowOff>127749</xdr:rowOff>
    </xdr:from>
    <xdr:to>
      <xdr:col>91</xdr:col>
      <xdr:colOff>72862</xdr:colOff>
      <xdr:row>23</xdr:row>
      <xdr:rowOff>140449</xdr:rowOff>
    </xdr:to>
    <xdr:cxnSp macro="">
      <xdr:nvCxnSpPr>
        <xdr:cNvPr id="294" name="カギ線コネクタ 61">
          <a:extLst>
            <a:ext uri="{FF2B5EF4-FFF2-40B4-BE49-F238E27FC236}">
              <a16:creationId xmlns:a16="http://schemas.microsoft.com/office/drawing/2014/main" id="{D5213408-4ADF-4BF4-8D0A-AB750CFD2B87}"/>
            </a:ext>
          </a:extLst>
        </xdr:cNvPr>
        <xdr:cNvCxnSpPr>
          <a:stCxn id="291" idx="1"/>
          <a:endCxn id="289" idx="1"/>
        </xdr:cNvCxnSpPr>
      </xdr:nvCxnSpPr>
      <xdr:spPr>
        <a:xfrm>
          <a:off x="15338424" y="4680699"/>
          <a:ext cx="355438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173143</xdr:colOff>
      <xdr:row>13</xdr:row>
      <xdr:rowOff>79775</xdr:rowOff>
    </xdr:from>
    <xdr:to>
      <xdr:col>70</xdr:col>
      <xdr:colOff>185843</xdr:colOff>
      <xdr:row>17</xdr:row>
      <xdr:rowOff>73025</xdr:rowOff>
    </xdr:to>
    <xdr:cxnSp macro="">
      <xdr:nvCxnSpPr>
        <xdr:cNvPr id="295" name="カギ線コネクタ 61">
          <a:extLst>
            <a:ext uri="{FF2B5EF4-FFF2-40B4-BE49-F238E27FC236}">
              <a16:creationId xmlns:a16="http://schemas.microsoft.com/office/drawing/2014/main" id="{8CA09495-81B4-4422-B283-C5E51CB15845}"/>
            </a:ext>
          </a:extLst>
        </xdr:cNvPr>
        <xdr:cNvCxnSpPr>
          <a:stCxn id="271" idx="2"/>
          <a:endCxn id="292" idx="0"/>
        </xdr:cNvCxnSpPr>
      </xdr:nvCxnSpPr>
      <xdr:spPr>
        <a:xfrm rot="5400000">
          <a:off x="11422368" y="3099000"/>
          <a:ext cx="75525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112818</xdr:colOff>
      <xdr:row>13</xdr:row>
      <xdr:rowOff>38102</xdr:rowOff>
    </xdr:from>
    <xdr:to>
      <xdr:col>91</xdr:col>
      <xdr:colOff>142875</xdr:colOff>
      <xdr:row>21</xdr:row>
      <xdr:rowOff>31750</xdr:rowOff>
    </xdr:to>
    <xdr:cxnSp macro="">
      <xdr:nvCxnSpPr>
        <xdr:cNvPr id="298" name="カギ線コネクタ 61">
          <a:extLst>
            <a:ext uri="{FF2B5EF4-FFF2-40B4-BE49-F238E27FC236}">
              <a16:creationId xmlns:a16="http://schemas.microsoft.com/office/drawing/2014/main" id="{83411321-BC82-438A-9338-3736DF3CE264}"/>
            </a:ext>
          </a:extLst>
        </xdr:cNvPr>
        <xdr:cNvCxnSpPr>
          <a:stCxn id="218" idx="2"/>
          <a:endCxn id="288" idx="0"/>
        </xdr:cNvCxnSpPr>
      </xdr:nvCxnSpPr>
      <xdr:spPr>
        <a:xfrm rot="5400000">
          <a:off x="14037523" y="2477347"/>
          <a:ext cx="1517648" cy="193505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179493</xdr:colOff>
      <xdr:row>27</xdr:row>
      <xdr:rowOff>34926</xdr:rowOff>
    </xdr:from>
    <xdr:to>
      <xdr:col>81</xdr:col>
      <xdr:colOff>112818</xdr:colOff>
      <xdr:row>33</xdr:row>
      <xdr:rowOff>2</xdr:rowOff>
    </xdr:to>
    <xdr:cxnSp macro="">
      <xdr:nvCxnSpPr>
        <xdr:cNvPr id="303" name="カギ線コネクタ 61">
          <a:extLst>
            <a:ext uri="{FF2B5EF4-FFF2-40B4-BE49-F238E27FC236}">
              <a16:creationId xmlns:a16="http://schemas.microsoft.com/office/drawing/2014/main" id="{13D1FAFF-0B36-4F54-9152-28264D3DF0BD}"/>
            </a:ext>
          </a:extLst>
        </xdr:cNvPr>
        <xdr:cNvCxnSpPr>
          <a:stCxn id="290" idx="2"/>
          <a:endCxn id="220" idx="0"/>
        </xdr:cNvCxnSpPr>
      </xdr:nvCxnSpPr>
      <xdr:spPr>
        <a:xfrm rot="5400000">
          <a:off x="12260368" y="4889501"/>
          <a:ext cx="1108076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89</xdr:row>
      <xdr:rowOff>79377</xdr:rowOff>
    </xdr:from>
    <xdr:to>
      <xdr:col>89</xdr:col>
      <xdr:colOff>75618</xdr:colOff>
      <xdr:row>93</xdr:row>
      <xdr:rowOff>3177</xdr:rowOff>
    </xdr:to>
    <xdr:sp macro="" textlink="">
      <xdr:nvSpPr>
        <xdr:cNvPr id="312" name="正方形/長方形 311">
          <a:extLst>
            <a:ext uri="{FF2B5EF4-FFF2-40B4-BE49-F238E27FC236}">
              <a16:creationId xmlns:a16="http://schemas.microsoft.com/office/drawing/2014/main" id="{003E8B8E-72EF-46C1-95F6-F65D04B64100}"/>
            </a:ext>
          </a:extLst>
        </xdr:cNvPr>
        <xdr:cNvSpPr/>
      </xdr:nvSpPr>
      <xdr:spPr>
        <a:xfrm>
          <a:off x="12342018" y="17205327"/>
          <a:ext cx="2973600" cy="6858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①列「正誤判定」追加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②列「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チェック」と「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PUSH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対象区分」の値が一致していたら「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、不一致の場合「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」を挿入</a:t>
          </a:r>
        </a:p>
      </xdr:txBody>
    </xdr:sp>
    <xdr:clientData/>
  </xdr:twoCellAnchor>
  <xdr:twoCellAnchor>
    <xdr:from>
      <xdr:col>86</xdr:col>
      <xdr:colOff>147638</xdr:colOff>
      <xdr:row>92</xdr:row>
      <xdr:rowOff>53976</xdr:rowOff>
    </xdr:from>
    <xdr:to>
      <xdr:col>93</xdr:col>
      <xdr:colOff>42863</xdr:colOff>
      <xdr:row>94</xdr:row>
      <xdr:rowOff>117476</xdr:rowOff>
    </xdr:to>
    <xdr:sp macro="" textlink="">
      <xdr:nvSpPr>
        <xdr:cNvPr id="313" name="フローチャート: データ 312">
          <a:extLst>
            <a:ext uri="{FF2B5EF4-FFF2-40B4-BE49-F238E27FC236}">
              <a16:creationId xmlns:a16="http://schemas.microsoft.com/office/drawing/2014/main" id="{71FC2787-EF5A-4652-B51F-00E5BDFF472F}"/>
            </a:ext>
          </a:extLst>
        </xdr:cNvPr>
        <xdr:cNvSpPr/>
      </xdr:nvSpPr>
      <xdr:spPr>
        <a:xfrm>
          <a:off x="14816138" y="17560926"/>
          <a:ext cx="1228725" cy="444500"/>
        </a:xfrm>
        <a:prstGeom prst="flowChartInputOutpu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df['</a:t>
          </a:r>
          <a:r>
            <a:rPr kumimoji="1" lang="ja-JP" altLang="en-US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正誤判定</a:t>
          </a:r>
          <a:r>
            <a:rPr kumimoji="1" lang="en-US" altLang="ja-JP" sz="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']</a:t>
          </a:r>
        </a:p>
      </xdr:txBody>
    </xdr:sp>
    <xdr:clientData/>
  </xdr:twoCellAnchor>
  <xdr:twoCellAnchor>
    <xdr:from>
      <xdr:col>81</xdr:col>
      <xdr:colOff>106468</xdr:colOff>
      <xdr:row>86</xdr:row>
      <xdr:rowOff>139701</xdr:rowOff>
    </xdr:from>
    <xdr:to>
      <xdr:col>81</xdr:col>
      <xdr:colOff>119168</xdr:colOff>
      <xdr:row>89</xdr:row>
      <xdr:rowOff>85727</xdr:rowOff>
    </xdr:to>
    <xdr:cxnSp macro="">
      <xdr:nvCxnSpPr>
        <xdr:cNvPr id="314" name="カギ線コネクタ 61">
          <a:extLst>
            <a:ext uri="{FF2B5EF4-FFF2-40B4-BE49-F238E27FC236}">
              <a16:creationId xmlns:a16="http://schemas.microsoft.com/office/drawing/2014/main" id="{A243B827-6CB9-4A8E-BAF7-6B3B76DB2EEF}"/>
            </a:ext>
          </a:extLst>
        </xdr:cNvPr>
        <xdr:cNvCxnSpPr>
          <a:stCxn id="250" idx="2"/>
          <a:endCxn id="312" idx="0"/>
        </xdr:cNvCxnSpPr>
      </xdr:nvCxnSpPr>
      <xdr:spPr>
        <a:xfrm rot="5400000">
          <a:off x="13570055" y="16946564"/>
          <a:ext cx="517526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96</xdr:row>
      <xdr:rowOff>22226</xdr:rowOff>
    </xdr:from>
    <xdr:to>
      <xdr:col>89</xdr:col>
      <xdr:colOff>75618</xdr:colOff>
      <xdr:row>97</xdr:row>
      <xdr:rowOff>137726</xdr:rowOff>
    </xdr:to>
    <xdr:sp macro="" textlink="">
      <xdr:nvSpPr>
        <xdr:cNvPr id="315" name="正方形/長方形 314">
          <a:extLst>
            <a:ext uri="{FF2B5EF4-FFF2-40B4-BE49-F238E27FC236}">
              <a16:creationId xmlns:a16="http://schemas.microsoft.com/office/drawing/2014/main" id="{01BF7A74-64DA-49EE-B7D4-FE3567E5F86B}"/>
            </a:ext>
          </a:extLst>
        </xdr:cNvPr>
        <xdr:cNvSpPr/>
      </xdr:nvSpPr>
      <xdr:spPr>
        <a:xfrm>
          <a:off x="12342018" y="18481676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True/False 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の値を ●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/""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に置換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179494</xdr:colOff>
      <xdr:row>97</xdr:row>
      <xdr:rowOff>137726</xdr:rowOff>
    </xdr:from>
    <xdr:to>
      <xdr:col>81</xdr:col>
      <xdr:colOff>112819</xdr:colOff>
      <xdr:row>106</xdr:row>
      <xdr:rowOff>3175</xdr:rowOff>
    </xdr:to>
    <xdr:cxnSp macro="">
      <xdr:nvCxnSpPr>
        <xdr:cNvPr id="317" name="カギ線コネクタ 61">
          <a:extLst>
            <a:ext uri="{FF2B5EF4-FFF2-40B4-BE49-F238E27FC236}">
              <a16:creationId xmlns:a16="http://schemas.microsoft.com/office/drawing/2014/main" id="{73EFC82C-5120-49B6-94EE-BADB3FBEFCA7}"/>
            </a:ext>
          </a:extLst>
        </xdr:cNvPr>
        <xdr:cNvCxnSpPr>
          <a:stCxn id="315" idx="2"/>
          <a:endCxn id="256" idx="0"/>
        </xdr:cNvCxnSpPr>
      </xdr:nvCxnSpPr>
      <xdr:spPr>
        <a:xfrm rot="5400000">
          <a:off x="12024432" y="18563238"/>
          <a:ext cx="1579949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106469</xdr:colOff>
      <xdr:row>93</xdr:row>
      <xdr:rowOff>9526</xdr:rowOff>
    </xdr:from>
    <xdr:to>
      <xdr:col>81</xdr:col>
      <xdr:colOff>119169</xdr:colOff>
      <xdr:row>96</xdr:row>
      <xdr:rowOff>28575</xdr:rowOff>
    </xdr:to>
    <xdr:cxnSp macro="">
      <xdr:nvCxnSpPr>
        <xdr:cNvPr id="318" name="カギ線コネクタ 61">
          <a:extLst>
            <a:ext uri="{FF2B5EF4-FFF2-40B4-BE49-F238E27FC236}">
              <a16:creationId xmlns:a16="http://schemas.microsoft.com/office/drawing/2014/main" id="{E23923E8-0B68-4AEF-9A3E-C9B60ECDB66C}"/>
            </a:ext>
          </a:extLst>
        </xdr:cNvPr>
        <xdr:cNvCxnSpPr>
          <a:stCxn id="312" idx="2"/>
          <a:endCxn id="315" idx="0"/>
        </xdr:cNvCxnSpPr>
      </xdr:nvCxnSpPr>
      <xdr:spPr>
        <a:xfrm rot="5400000">
          <a:off x="13533544" y="18186401"/>
          <a:ext cx="590549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109</xdr:row>
      <xdr:rowOff>161925</xdr:rowOff>
    </xdr:from>
    <xdr:to>
      <xdr:col>89</xdr:col>
      <xdr:colOff>75618</xdr:colOff>
      <xdr:row>113</xdr:row>
      <xdr:rowOff>9525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12AB9E34-81CA-49CC-8C4C-2D5E4872FE75}"/>
            </a:ext>
          </a:extLst>
        </xdr:cNvPr>
        <xdr:cNvSpPr/>
      </xdr:nvSpPr>
      <xdr:spPr>
        <a:xfrm>
          <a:off x="12342018" y="21097875"/>
          <a:ext cx="2973600" cy="6096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列の並び替え</a:t>
          </a:r>
          <a:endParaRPr kumimoji="1" lang="en-US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並び変えたい部分の列名はべた書き</a:t>
          </a:r>
          <a:endParaRPr kumimoji="1" lang="en-US" altLang="ja-JP" sz="9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150018</xdr:colOff>
      <xdr:row>115</xdr:row>
      <xdr:rowOff>95249</xdr:rowOff>
    </xdr:from>
    <xdr:to>
      <xdr:col>89</xdr:col>
      <xdr:colOff>75618</xdr:colOff>
      <xdr:row>117</xdr:row>
      <xdr:rowOff>38100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C82FE2D1-3D6F-4BA4-9794-176F43F54430}"/>
            </a:ext>
          </a:extLst>
        </xdr:cNvPr>
        <xdr:cNvSpPr/>
      </xdr:nvSpPr>
      <xdr:spPr>
        <a:xfrm>
          <a:off x="12342018" y="22174199"/>
          <a:ext cx="2973600" cy="323851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日付型の列を「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YYYY/MM/DD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」形式の文字列に変換</a:t>
          </a:r>
        </a:p>
      </xdr:txBody>
    </xdr:sp>
    <xdr:clientData/>
  </xdr:twoCellAnchor>
  <xdr:twoCellAnchor>
    <xdr:from>
      <xdr:col>81</xdr:col>
      <xdr:colOff>106468</xdr:colOff>
      <xdr:row>113</xdr:row>
      <xdr:rowOff>15875</xdr:rowOff>
    </xdr:from>
    <xdr:to>
      <xdr:col>81</xdr:col>
      <xdr:colOff>119168</xdr:colOff>
      <xdr:row>115</xdr:row>
      <xdr:rowOff>101599</xdr:rowOff>
    </xdr:to>
    <xdr:cxnSp macro="">
      <xdr:nvCxnSpPr>
        <xdr:cNvPr id="323" name="カギ線コネクタ 61">
          <a:extLst>
            <a:ext uri="{FF2B5EF4-FFF2-40B4-BE49-F238E27FC236}">
              <a16:creationId xmlns:a16="http://schemas.microsoft.com/office/drawing/2014/main" id="{3A28AE25-4920-43A7-BD60-6AB085A16703}"/>
            </a:ext>
          </a:extLst>
        </xdr:cNvPr>
        <xdr:cNvCxnSpPr>
          <a:stCxn id="321" idx="2"/>
          <a:endCxn id="322" idx="0"/>
        </xdr:cNvCxnSpPr>
      </xdr:nvCxnSpPr>
      <xdr:spPr>
        <a:xfrm rot="5400000">
          <a:off x="13595456" y="21940837"/>
          <a:ext cx="466724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179492</xdr:colOff>
      <xdr:row>107</xdr:row>
      <xdr:rowOff>118675</xdr:rowOff>
    </xdr:from>
    <xdr:to>
      <xdr:col>81</xdr:col>
      <xdr:colOff>112817</xdr:colOff>
      <xdr:row>109</xdr:row>
      <xdr:rowOff>161925</xdr:rowOff>
    </xdr:to>
    <xdr:cxnSp macro="">
      <xdr:nvCxnSpPr>
        <xdr:cNvPr id="324" name="カギ線コネクタ 61">
          <a:extLst>
            <a:ext uri="{FF2B5EF4-FFF2-40B4-BE49-F238E27FC236}">
              <a16:creationId xmlns:a16="http://schemas.microsoft.com/office/drawing/2014/main" id="{DDECCA4F-7821-475D-8B07-0B9850C0F6E9}"/>
            </a:ext>
          </a:extLst>
        </xdr:cNvPr>
        <xdr:cNvCxnSpPr>
          <a:stCxn id="256" idx="2"/>
          <a:endCxn id="321" idx="0"/>
        </xdr:cNvCxnSpPr>
      </xdr:nvCxnSpPr>
      <xdr:spPr>
        <a:xfrm rot="16200000" flipH="1">
          <a:off x="12602280" y="19871337"/>
          <a:ext cx="424250" cy="20288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118856</xdr:colOff>
      <xdr:row>119</xdr:row>
      <xdr:rowOff>57150</xdr:rowOff>
    </xdr:from>
    <xdr:to>
      <xdr:col>88</xdr:col>
      <xdr:colOff>106781</xdr:colOff>
      <xdr:row>124</xdr:row>
      <xdr:rowOff>57150</xdr:rowOff>
    </xdr:to>
    <xdr:sp macro="" textlink="">
      <xdr:nvSpPr>
        <xdr:cNvPr id="327" name="フローチャート: 判断 326">
          <a:extLst>
            <a:ext uri="{FF2B5EF4-FFF2-40B4-BE49-F238E27FC236}">
              <a16:creationId xmlns:a16="http://schemas.microsoft.com/office/drawing/2014/main" id="{82FB28E1-EA43-4355-8390-D107012B0B35}"/>
            </a:ext>
          </a:extLst>
        </xdr:cNvPr>
        <xdr:cNvSpPr/>
      </xdr:nvSpPr>
      <xdr:spPr>
        <a:xfrm>
          <a:off x="12501356" y="22898100"/>
          <a:ext cx="2654925" cy="952500"/>
        </a:xfrm>
        <a:prstGeom prst="flowChartDecision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出力ファイル存在チェック</a:t>
          </a:r>
        </a:p>
      </xdr:txBody>
    </xdr:sp>
    <xdr:clientData/>
  </xdr:twoCellAnchor>
  <xdr:twoCellAnchor>
    <xdr:from>
      <xdr:col>80</xdr:col>
      <xdr:colOff>96943</xdr:colOff>
      <xdr:row>124</xdr:row>
      <xdr:rowOff>25403</xdr:rowOff>
    </xdr:from>
    <xdr:to>
      <xdr:col>82</xdr:col>
      <xdr:colOff>128693</xdr:colOff>
      <xdr:row>125</xdr:row>
      <xdr:rowOff>76201</xdr:rowOff>
    </xdr:to>
    <xdr:sp macro="" textlink="">
      <xdr:nvSpPr>
        <xdr:cNvPr id="328" name="正方形/長方形 327">
          <a:extLst>
            <a:ext uri="{FF2B5EF4-FFF2-40B4-BE49-F238E27FC236}">
              <a16:creationId xmlns:a16="http://schemas.microsoft.com/office/drawing/2014/main" id="{E56AFDAB-B024-447D-9DC1-5E996571B0E5}"/>
            </a:ext>
          </a:extLst>
        </xdr:cNvPr>
        <xdr:cNvSpPr/>
      </xdr:nvSpPr>
      <xdr:spPr>
        <a:xfrm flipH="1">
          <a:off x="13622443" y="23818853"/>
          <a:ext cx="412750" cy="241298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133761</xdr:colOff>
      <xdr:row>121</xdr:row>
      <xdr:rowOff>30163</xdr:rowOff>
    </xdr:from>
    <xdr:to>
      <xdr:col>89</xdr:col>
      <xdr:colOff>165511</xdr:colOff>
      <xdr:row>122</xdr:row>
      <xdr:rowOff>84137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66D8FB9C-19EA-4182-BBCA-DCE0BA73A7B6}"/>
            </a:ext>
          </a:extLst>
        </xdr:cNvPr>
        <xdr:cNvSpPr/>
      </xdr:nvSpPr>
      <xdr:spPr>
        <a:xfrm flipH="1">
          <a:off x="14992761" y="23252113"/>
          <a:ext cx="412750" cy="244474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7936</xdr:colOff>
      <xdr:row>125</xdr:row>
      <xdr:rowOff>139700</xdr:rowOff>
    </xdr:from>
    <xdr:to>
      <xdr:col>93</xdr:col>
      <xdr:colOff>100011</xdr:colOff>
      <xdr:row>127</xdr:row>
      <xdr:rowOff>88900</xdr:rowOff>
    </xdr:to>
    <xdr:sp macro="" textlink="">
      <xdr:nvSpPr>
        <xdr:cNvPr id="330" name="正方形/長方形 329">
          <a:extLst>
            <a:ext uri="{FF2B5EF4-FFF2-40B4-BE49-F238E27FC236}">
              <a16:creationId xmlns:a16="http://schemas.microsoft.com/office/drawing/2014/main" id="{9AD41E42-1DFF-4C69-9615-40E1624A20F5}"/>
            </a:ext>
          </a:extLst>
        </xdr:cNvPr>
        <xdr:cNvSpPr/>
      </xdr:nvSpPr>
      <xdr:spPr>
        <a:xfrm>
          <a:off x="14295436" y="24123650"/>
          <a:ext cx="1806575" cy="3302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ファイル名にタイムスタンプを付与</a:t>
          </a:r>
        </a:p>
      </xdr:txBody>
    </xdr:sp>
    <xdr:clientData/>
  </xdr:twoCellAnchor>
  <xdr:twoCellAnchor>
    <xdr:from>
      <xdr:col>88</xdr:col>
      <xdr:colOff>149225</xdr:colOff>
      <xdr:row>122</xdr:row>
      <xdr:rowOff>84136</xdr:rowOff>
    </xdr:from>
    <xdr:to>
      <xdr:col>88</xdr:col>
      <xdr:colOff>149637</xdr:colOff>
      <xdr:row>125</xdr:row>
      <xdr:rowOff>139699</xdr:rowOff>
    </xdr:to>
    <xdr:cxnSp macro="">
      <xdr:nvCxnSpPr>
        <xdr:cNvPr id="331" name="カギ線コネクタ 61">
          <a:extLst>
            <a:ext uri="{FF2B5EF4-FFF2-40B4-BE49-F238E27FC236}">
              <a16:creationId xmlns:a16="http://schemas.microsoft.com/office/drawing/2014/main" id="{36F0E539-16D0-4A4B-999F-CDE2F581D441}"/>
            </a:ext>
          </a:extLst>
        </xdr:cNvPr>
        <xdr:cNvCxnSpPr>
          <a:cxnSpLocks/>
          <a:stCxn id="329" idx="2"/>
          <a:endCxn id="330" idx="0"/>
        </xdr:cNvCxnSpPr>
      </xdr:nvCxnSpPr>
      <xdr:spPr>
        <a:xfrm rot="5400000">
          <a:off x="14885399" y="23809912"/>
          <a:ext cx="627063" cy="412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76200</xdr:colOff>
      <xdr:row>131</xdr:row>
      <xdr:rowOff>19050</xdr:rowOff>
    </xdr:from>
    <xdr:to>
      <xdr:col>104</xdr:col>
      <xdr:colOff>28575</xdr:colOff>
      <xdr:row>134</xdr:row>
      <xdr:rowOff>152400</xdr:rowOff>
    </xdr:to>
    <xdr:sp macro="" textlink="">
      <xdr:nvSpPr>
        <xdr:cNvPr id="332" name="フローチャート: 書類 331">
          <a:extLst>
            <a:ext uri="{FF2B5EF4-FFF2-40B4-BE49-F238E27FC236}">
              <a16:creationId xmlns:a16="http://schemas.microsoft.com/office/drawing/2014/main" id="{2ECCAF93-63DA-49C1-89BB-0BBF724D6253}"/>
            </a:ext>
          </a:extLst>
        </xdr:cNvPr>
        <xdr:cNvSpPr/>
      </xdr:nvSpPr>
      <xdr:spPr>
        <a:xfrm>
          <a:off x="16078200" y="25146000"/>
          <a:ext cx="2047875" cy="704850"/>
        </a:xfrm>
        <a:prstGeom prst="flowChartDocumen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{YYYYMMDD}_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案件アラートチェックシート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_{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タイムスタンプ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}.xlsx</a:t>
          </a:r>
        </a:p>
      </xdr:txBody>
    </xdr:sp>
    <xdr:clientData/>
  </xdr:twoCellAnchor>
  <xdr:twoCellAnchor>
    <xdr:from>
      <xdr:col>73</xdr:col>
      <xdr:colOff>150018</xdr:colOff>
      <xdr:row>130</xdr:row>
      <xdr:rowOff>57150</xdr:rowOff>
    </xdr:from>
    <xdr:to>
      <xdr:col>89</xdr:col>
      <xdr:colOff>75618</xdr:colOff>
      <xdr:row>131</xdr:row>
      <xdr:rowOff>172650</xdr:rowOff>
    </xdr:to>
    <xdr:sp macro="" textlink="">
      <xdr:nvSpPr>
        <xdr:cNvPr id="333" name="正方形/長方形 332">
          <a:extLst>
            <a:ext uri="{FF2B5EF4-FFF2-40B4-BE49-F238E27FC236}">
              <a16:creationId xmlns:a16="http://schemas.microsoft.com/office/drawing/2014/main" id="{EAD3469E-9752-4A3D-AF22-6240A2CD3EAB}"/>
            </a:ext>
          </a:extLst>
        </xdr:cNvPr>
        <xdr:cNvSpPr/>
      </xdr:nvSpPr>
      <xdr:spPr>
        <a:xfrm>
          <a:off x="12342018" y="24993600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92</xdr:col>
      <xdr:colOff>66675</xdr:colOff>
      <xdr:row>129</xdr:row>
      <xdr:rowOff>47625</xdr:rowOff>
    </xdr:from>
    <xdr:to>
      <xdr:col>103</xdr:col>
      <xdr:colOff>19575</xdr:colOff>
      <xdr:row>132</xdr:row>
      <xdr:rowOff>181725</xdr:rowOff>
    </xdr:to>
    <xdr:sp macro="" textlink="">
      <xdr:nvSpPr>
        <xdr:cNvPr id="334" name="フローチャート: 書類 333">
          <a:extLst>
            <a:ext uri="{FF2B5EF4-FFF2-40B4-BE49-F238E27FC236}">
              <a16:creationId xmlns:a16="http://schemas.microsoft.com/office/drawing/2014/main" id="{1BFFFBE7-03A6-43D1-A12E-3E4B0E45DE3C}"/>
            </a:ext>
          </a:extLst>
        </xdr:cNvPr>
        <xdr:cNvSpPr/>
      </xdr:nvSpPr>
      <xdr:spPr>
        <a:xfrm>
          <a:off x="15878175" y="24793575"/>
          <a:ext cx="2048400" cy="705600"/>
        </a:xfrm>
        <a:prstGeom prst="flowChartDocumen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{YYYYMMDD}_</a:t>
          </a:r>
          <a:r>
            <a:rPr kumimoji="1" lang="ja-JP" altLang="en-US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案件アラートチェックシート</a:t>
          </a:r>
          <a:r>
            <a:rPr kumimoji="1" lang="en-US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</a:p>
      </xdr:txBody>
    </xdr:sp>
    <xdr:clientData/>
  </xdr:twoCellAnchor>
  <xdr:twoCellAnchor>
    <xdr:from>
      <xdr:col>89</xdr:col>
      <xdr:colOff>75618</xdr:colOff>
      <xdr:row>131</xdr:row>
      <xdr:rowOff>19425</xdr:rowOff>
    </xdr:from>
    <xdr:to>
      <xdr:col>92</xdr:col>
      <xdr:colOff>66675</xdr:colOff>
      <xdr:row>131</xdr:row>
      <xdr:rowOff>19650</xdr:rowOff>
    </xdr:to>
    <xdr:cxnSp macro="">
      <xdr:nvCxnSpPr>
        <xdr:cNvPr id="335" name="カギ線コネクタ 59">
          <a:extLst>
            <a:ext uri="{FF2B5EF4-FFF2-40B4-BE49-F238E27FC236}">
              <a16:creationId xmlns:a16="http://schemas.microsoft.com/office/drawing/2014/main" id="{39BEF768-1183-46D8-BDC5-E1A2012893C5}"/>
            </a:ext>
          </a:extLst>
        </xdr:cNvPr>
        <xdr:cNvCxnSpPr>
          <a:stCxn id="333" idx="3"/>
          <a:endCxn id="334" idx="1"/>
        </xdr:cNvCxnSpPr>
      </xdr:nvCxnSpPr>
      <xdr:spPr>
        <a:xfrm flipV="1">
          <a:off x="15315618" y="25146375"/>
          <a:ext cx="562557" cy="225"/>
        </a:xfrm>
        <a:prstGeom prst="bentConnector3">
          <a:avLst>
            <a:gd name="adj1" fmla="val 50000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112817</xdr:colOff>
      <xdr:row>117</xdr:row>
      <xdr:rowOff>38100</xdr:rowOff>
    </xdr:from>
    <xdr:to>
      <xdr:col>81</xdr:col>
      <xdr:colOff>112818</xdr:colOff>
      <xdr:row>119</xdr:row>
      <xdr:rowOff>57150</xdr:rowOff>
    </xdr:to>
    <xdr:cxnSp macro="">
      <xdr:nvCxnSpPr>
        <xdr:cNvPr id="337" name="カギ線コネクタ 61">
          <a:extLst>
            <a:ext uri="{FF2B5EF4-FFF2-40B4-BE49-F238E27FC236}">
              <a16:creationId xmlns:a16="http://schemas.microsoft.com/office/drawing/2014/main" id="{EEB6B1B2-B3B3-4A2E-A840-1D3E8FE3A69E}"/>
            </a:ext>
          </a:extLst>
        </xdr:cNvPr>
        <xdr:cNvCxnSpPr>
          <a:stCxn id="322" idx="2"/>
          <a:endCxn id="327" idx="0"/>
        </xdr:cNvCxnSpPr>
      </xdr:nvCxnSpPr>
      <xdr:spPr>
        <a:xfrm rot="16200000" flipH="1">
          <a:off x="13628793" y="22698074"/>
          <a:ext cx="400050" cy="1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106469</xdr:colOff>
      <xdr:row>125</xdr:row>
      <xdr:rowOff>82550</xdr:rowOff>
    </xdr:from>
    <xdr:to>
      <xdr:col>81</xdr:col>
      <xdr:colOff>119169</xdr:colOff>
      <xdr:row>130</xdr:row>
      <xdr:rowOff>63499</xdr:rowOff>
    </xdr:to>
    <xdr:cxnSp macro="">
      <xdr:nvCxnSpPr>
        <xdr:cNvPr id="340" name="カギ線コネクタ 61">
          <a:extLst>
            <a:ext uri="{FF2B5EF4-FFF2-40B4-BE49-F238E27FC236}">
              <a16:creationId xmlns:a16="http://schemas.microsoft.com/office/drawing/2014/main" id="{E9079151-CEDA-4116-9B5C-C0200A4CF71A}"/>
            </a:ext>
          </a:extLst>
        </xdr:cNvPr>
        <xdr:cNvCxnSpPr>
          <a:stCxn id="328" idx="2"/>
          <a:endCxn id="333" idx="0"/>
        </xdr:cNvCxnSpPr>
      </xdr:nvCxnSpPr>
      <xdr:spPr>
        <a:xfrm rot="5400000">
          <a:off x="13362094" y="24526875"/>
          <a:ext cx="933449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150018</xdr:colOff>
      <xdr:row>142</xdr:row>
      <xdr:rowOff>0</xdr:rowOff>
    </xdr:from>
    <xdr:to>
      <xdr:col>89</xdr:col>
      <xdr:colOff>75618</xdr:colOff>
      <xdr:row>143</xdr:row>
      <xdr:rowOff>95249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251F7F9C-DE14-4CAB-9B88-76E2C9BF9BC5}"/>
            </a:ext>
          </a:extLst>
        </xdr:cNvPr>
        <xdr:cNvSpPr/>
      </xdr:nvSpPr>
      <xdr:spPr>
        <a:xfrm>
          <a:off x="12342018" y="27222450"/>
          <a:ext cx="2973600" cy="285749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出力した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ファイルを再度開く</a:t>
          </a:r>
        </a:p>
      </xdr:txBody>
    </xdr:sp>
    <xdr:clientData/>
  </xdr:twoCellAnchor>
  <xdr:twoCellAnchor>
    <xdr:from>
      <xdr:col>73</xdr:col>
      <xdr:colOff>150018</xdr:colOff>
      <xdr:row>152</xdr:row>
      <xdr:rowOff>9525</xdr:rowOff>
    </xdr:from>
    <xdr:to>
      <xdr:col>89</xdr:col>
      <xdr:colOff>75618</xdr:colOff>
      <xdr:row>153</xdr:row>
      <xdr:rowOff>125025</xdr:rowOff>
    </xdr:to>
    <xdr:sp macro="" textlink="">
      <xdr:nvSpPr>
        <xdr:cNvPr id="344" name="正方形/長方形 343">
          <a:extLst>
            <a:ext uri="{FF2B5EF4-FFF2-40B4-BE49-F238E27FC236}">
              <a16:creationId xmlns:a16="http://schemas.microsoft.com/office/drawing/2014/main" id="{E0785C12-9EB0-481A-8BE7-64CC9CE8E25A}"/>
            </a:ext>
          </a:extLst>
        </xdr:cNvPr>
        <xdr:cNvSpPr/>
      </xdr:nvSpPr>
      <xdr:spPr>
        <a:xfrm>
          <a:off x="12342018" y="29136975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列「正誤判定」の値をカウントし、完了メッセージに表示</a:t>
          </a:r>
        </a:p>
      </xdr:txBody>
    </xdr:sp>
    <xdr:clientData/>
  </xdr:twoCellAnchor>
  <xdr:twoCellAnchor>
    <xdr:from>
      <xdr:col>73</xdr:col>
      <xdr:colOff>150018</xdr:colOff>
      <xdr:row>146</xdr:row>
      <xdr:rowOff>133350</xdr:rowOff>
    </xdr:from>
    <xdr:to>
      <xdr:col>89</xdr:col>
      <xdr:colOff>75618</xdr:colOff>
      <xdr:row>148</xdr:row>
      <xdr:rowOff>58350</xdr:rowOff>
    </xdr:to>
    <xdr:sp macro="" textlink="">
      <xdr:nvSpPr>
        <xdr:cNvPr id="345" name="正方形/長方形 344">
          <a:extLst>
            <a:ext uri="{FF2B5EF4-FFF2-40B4-BE49-F238E27FC236}">
              <a16:creationId xmlns:a16="http://schemas.microsoft.com/office/drawing/2014/main" id="{7365EC5C-1C51-4EA4-854B-057636B67FC2}"/>
            </a:ext>
          </a:extLst>
        </xdr:cNvPr>
        <xdr:cNvSpPr/>
      </xdr:nvSpPr>
      <xdr:spPr>
        <a:xfrm>
          <a:off x="12342018" y="28117800"/>
          <a:ext cx="2973600" cy="306000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書式設定し上書き保存</a:t>
          </a:r>
        </a:p>
      </xdr:txBody>
    </xdr:sp>
    <xdr:clientData/>
  </xdr:twoCellAnchor>
  <xdr:twoCellAnchor>
    <xdr:from>
      <xdr:col>79</xdr:col>
      <xdr:colOff>8043</xdr:colOff>
      <xdr:row>156</xdr:row>
      <xdr:rowOff>47625</xdr:rowOff>
    </xdr:from>
    <xdr:to>
      <xdr:col>84</xdr:col>
      <xdr:colOff>27093</xdr:colOff>
      <xdr:row>157</xdr:row>
      <xdr:rowOff>171450</xdr:rowOff>
    </xdr:to>
    <xdr:sp macro="" textlink="">
      <xdr:nvSpPr>
        <xdr:cNvPr id="346" name="フローチャート: 端子 345">
          <a:extLst>
            <a:ext uri="{FF2B5EF4-FFF2-40B4-BE49-F238E27FC236}">
              <a16:creationId xmlns:a16="http://schemas.microsoft.com/office/drawing/2014/main" id="{851CBC22-7FFD-4815-A272-BAC980C7C607}"/>
            </a:ext>
          </a:extLst>
        </xdr:cNvPr>
        <xdr:cNvSpPr/>
      </xdr:nvSpPr>
      <xdr:spPr>
        <a:xfrm>
          <a:off x="13343043" y="29937075"/>
          <a:ext cx="971550" cy="31432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81</xdr:col>
      <xdr:colOff>106469</xdr:colOff>
      <xdr:row>148</xdr:row>
      <xdr:rowOff>64699</xdr:rowOff>
    </xdr:from>
    <xdr:to>
      <xdr:col>81</xdr:col>
      <xdr:colOff>119169</xdr:colOff>
      <xdr:row>152</xdr:row>
      <xdr:rowOff>15874</xdr:rowOff>
    </xdr:to>
    <xdr:cxnSp macro="">
      <xdr:nvCxnSpPr>
        <xdr:cNvPr id="347" name="カギ線コネクタ 61">
          <a:extLst>
            <a:ext uri="{FF2B5EF4-FFF2-40B4-BE49-F238E27FC236}">
              <a16:creationId xmlns:a16="http://schemas.microsoft.com/office/drawing/2014/main" id="{CB13443A-E59F-43E3-9FAA-FB5F9E474A4C}"/>
            </a:ext>
          </a:extLst>
        </xdr:cNvPr>
        <xdr:cNvCxnSpPr>
          <a:stCxn id="345" idx="2"/>
          <a:endCxn id="344" idx="0"/>
        </xdr:cNvCxnSpPr>
      </xdr:nvCxnSpPr>
      <xdr:spPr>
        <a:xfrm rot="5400000">
          <a:off x="13472231" y="28780387"/>
          <a:ext cx="713175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106468</xdr:colOff>
      <xdr:row>153</xdr:row>
      <xdr:rowOff>131375</xdr:rowOff>
    </xdr:from>
    <xdr:to>
      <xdr:col>81</xdr:col>
      <xdr:colOff>119168</xdr:colOff>
      <xdr:row>156</xdr:row>
      <xdr:rowOff>53975</xdr:rowOff>
    </xdr:to>
    <xdr:cxnSp macro="">
      <xdr:nvCxnSpPr>
        <xdr:cNvPr id="348" name="カギ線コネクタ 61">
          <a:extLst>
            <a:ext uri="{FF2B5EF4-FFF2-40B4-BE49-F238E27FC236}">
              <a16:creationId xmlns:a16="http://schemas.microsoft.com/office/drawing/2014/main" id="{5426B0D5-BA2E-4B45-BCCC-38FEBE5A6E87}"/>
            </a:ext>
          </a:extLst>
        </xdr:cNvPr>
        <xdr:cNvCxnSpPr>
          <a:stCxn id="344" idx="2"/>
          <a:endCxn id="346" idx="0"/>
        </xdr:cNvCxnSpPr>
      </xdr:nvCxnSpPr>
      <xdr:spPr>
        <a:xfrm rot="5400000">
          <a:off x="13581768" y="29690025"/>
          <a:ext cx="49410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106469</xdr:colOff>
      <xdr:row>143</xdr:row>
      <xdr:rowOff>101598</xdr:rowOff>
    </xdr:from>
    <xdr:to>
      <xdr:col>81</xdr:col>
      <xdr:colOff>119169</xdr:colOff>
      <xdr:row>146</xdr:row>
      <xdr:rowOff>139699</xdr:rowOff>
    </xdr:to>
    <xdr:cxnSp macro="">
      <xdr:nvCxnSpPr>
        <xdr:cNvPr id="349" name="カギ線コネクタ 61">
          <a:extLst>
            <a:ext uri="{FF2B5EF4-FFF2-40B4-BE49-F238E27FC236}">
              <a16:creationId xmlns:a16="http://schemas.microsoft.com/office/drawing/2014/main" id="{9A522747-C02B-4D89-BFED-ACB57578D51F}"/>
            </a:ext>
          </a:extLst>
        </xdr:cNvPr>
        <xdr:cNvCxnSpPr>
          <a:stCxn id="343" idx="2"/>
          <a:endCxn id="345" idx="0"/>
        </xdr:cNvCxnSpPr>
      </xdr:nvCxnSpPr>
      <xdr:spPr>
        <a:xfrm rot="5400000">
          <a:off x="13524018" y="27812999"/>
          <a:ext cx="609601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106468</xdr:colOff>
      <xdr:row>131</xdr:row>
      <xdr:rowOff>179000</xdr:rowOff>
    </xdr:from>
    <xdr:to>
      <xdr:col>81</xdr:col>
      <xdr:colOff>119168</xdr:colOff>
      <xdr:row>142</xdr:row>
      <xdr:rowOff>6350</xdr:rowOff>
    </xdr:to>
    <xdr:cxnSp macro="">
      <xdr:nvCxnSpPr>
        <xdr:cNvPr id="350" name="カギ線コネクタ 61">
          <a:extLst>
            <a:ext uri="{FF2B5EF4-FFF2-40B4-BE49-F238E27FC236}">
              <a16:creationId xmlns:a16="http://schemas.microsoft.com/office/drawing/2014/main" id="{C8F93AB0-6B26-4B4B-8DDC-53B76F8E3E91}"/>
            </a:ext>
          </a:extLst>
        </xdr:cNvPr>
        <xdr:cNvCxnSpPr>
          <a:stCxn id="333" idx="2"/>
          <a:endCxn id="343" idx="0"/>
        </xdr:cNvCxnSpPr>
      </xdr:nvCxnSpPr>
      <xdr:spPr>
        <a:xfrm rot="5400000">
          <a:off x="12867393" y="26261025"/>
          <a:ext cx="1922850" cy="127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112818</xdr:colOff>
      <xdr:row>134</xdr:row>
      <xdr:rowOff>105802</xdr:rowOff>
    </xdr:from>
    <xdr:to>
      <xdr:col>98</xdr:col>
      <xdr:colOff>147638</xdr:colOff>
      <xdr:row>148</xdr:row>
      <xdr:rowOff>58350</xdr:rowOff>
    </xdr:to>
    <xdr:cxnSp macro="">
      <xdr:nvCxnSpPr>
        <xdr:cNvPr id="353" name="カギ線コネクタ 59">
          <a:extLst>
            <a:ext uri="{FF2B5EF4-FFF2-40B4-BE49-F238E27FC236}">
              <a16:creationId xmlns:a16="http://schemas.microsoft.com/office/drawing/2014/main" id="{C443AAE2-2AE2-435E-A19A-A149C6EE08C6}"/>
            </a:ext>
          </a:extLst>
        </xdr:cNvPr>
        <xdr:cNvCxnSpPr>
          <a:stCxn id="345" idx="2"/>
          <a:endCxn id="332" idx="2"/>
        </xdr:cNvCxnSpPr>
      </xdr:nvCxnSpPr>
      <xdr:spPr>
        <a:xfrm rot="5400000" flipH="1" flipV="1">
          <a:off x="14155704" y="25477366"/>
          <a:ext cx="2619548" cy="3273320"/>
        </a:xfrm>
        <a:prstGeom prst="bentConnector3">
          <a:avLst>
            <a:gd name="adj1" fmla="val -8727"/>
          </a:avLst>
        </a:prstGeom>
        <a:ln w="38100">
          <a:solidFill>
            <a:schemeClr val="accent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112818</xdr:colOff>
      <xdr:row>127</xdr:row>
      <xdr:rowOff>88900</xdr:rowOff>
    </xdr:from>
    <xdr:to>
      <xdr:col>88</xdr:col>
      <xdr:colOff>149224</xdr:colOff>
      <xdr:row>130</xdr:row>
      <xdr:rowOff>57150</xdr:rowOff>
    </xdr:to>
    <xdr:cxnSp macro="">
      <xdr:nvCxnSpPr>
        <xdr:cNvPr id="358" name="カギ線コネクタ 61">
          <a:extLst>
            <a:ext uri="{FF2B5EF4-FFF2-40B4-BE49-F238E27FC236}">
              <a16:creationId xmlns:a16="http://schemas.microsoft.com/office/drawing/2014/main" id="{BE9D1FC3-8686-4611-90C8-4DF3AEEFC1C6}"/>
            </a:ext>
          </a:extLst>
        </xdr:cNvPr>
        <xdr:cNvCxnSpPr>
          <a:cxnSpLocks/>
          <a:stCxn id="330" idx="2"/>
          <a:endCxn id="333" idx="0"/>
        </xdr:cNvCxnSpPr>
      </xdr:nvCxnSpPr>
      <xdr:spPr>
        <a:xfrm rot="5400000">
          <a:off x="14243896" y="24038772"/>
          <a:ext cx="539750" cy="1369906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161925</xdr:rowOff>
    </xdr:from>
    <xdr:to>
      <xdr:col>7</xdr:col>
      <xdr:colOff>67732</xdr:colOff>
      <xdr:row>3</xdr:row>
      <xdr:rowOff>45509</xdr:rowOff>
    </xdr:to>
    <xdr:sp macro="" textlink="">
      <xdr:nvSpPr>
        <xdr:cNvPr id="424" name="正方形/長方形 423">
          <a:extLst>
            <a:ext uri="{FF2B5EF4-FFF2-40B4-BE49-F238E27FC236}">
              <a16:creationId xmlns:a16="http://schemas.microsoft.com/office/drawing/2014/main" id="{870A6917-EC7B-4474-8BF8-AFEA6995475F}"/>
            </a:ext>
          </a:extLst>
        </xdr:cNvPr>
        <xdr:cNvSpPr/>
      </xdr:nvSpPr>
      <xdr:spPr>
        <a:xfrm>
          <a:off x="381000" y="523875"/>
          <a:ext cx="1020232" cy="245534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テーブル：内部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26457</xdr:colOff>
      <xdr:row>2</xdr:row>
      <xdr:rowOff>2</xdr:rowOff>
    </xdr:from>
    <xdr:to>
      <xdr:col>22</xdr:col>
      <xdr:colOff>114299</xdr:colOff>
      <xdr:row>3</xdr:row>
      <xdr:rowOff>55034</xdr:rowOff>
    </xdr:to>
    <xdr:sp macro="" textlink="">
      <xdr:nvSpPr>
        <xdr:cNvPr id="425" name="角丸四角形 28">
          <a:extLst>
            <a:ext uri="{FF2B5EF4-FFF2-40B4-BE49-F238E27FC236}">
              <a16:creationId xmlns:a16="http://schemas.microsoft.com/office/drawing/2014/main" id="{B7F8F32F-2F29-46CF-BB87-03C155528EC4}"/>
            </a:ext>
          </a:extLst>
        </xdr:cNvPr>
        <xdr:cNvSpPr/>
      </xdr:nvSpPr>
      <xdr:spPr>
        <a:xfrm>
          <a:off x="3455457" y="542927"/>
          <a:ext cx="849842" cy="236007"/>
        </a:xfrm>
        <a:prstGeom prst="roundRect">
          <a:avLst>
            <a:gd name="adj" fmla="val 50000"/>
          </a:avLst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処理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77256</xdr:colOff>
      <xdr:row>2</xdr:row>
      <xdr:rowOff>2</xdr:rowOff>
    </xdr:from>
    <xdr:to>
      <xdr:col>17</xdr:col>
      <xdr:colOff>7407</xdr:colOff>
      <xdr:row>3</xdr:row>
      <xdr:rowOff>64560</xdr:rowOff>
    </xdr:to>
    <xdr:sp macro="" textlink="">
      <xdr:nvSpPr>
        <xdr:cNvPr id="426" name="正方形/長方形 425">
          <a:extLst>
            <a:ext uri="{FF2B5EF4-FFF2-40B4-BE49-F238E27FC236}">
              <a16:creationId xmlns:a16="http://schemas.microsoft.com/office/drawing/2014/main" id="{7EADB584-B912-4AEF-B2AF-412ED4A7283C}"/>
            </a:ext>
          </a:extLst>
        </xdr:cNvPr>
        <xdr:cNvSpPr/>
      </xdr:nvSpPr>
      <xdr:spPr>
        <a:xfrm>
          <a:off x="1601256" y="542927"/>
          <a:ext cx="1644651" cy="245533"/>
        </a:xfrm>
        <a:prstGeom prst="rect">
          <a:avLst/>
        </a:prstGeom>
        <a:ln w="19050">
          <a:solidFill>
            <a:srgbClr val="C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テーブル：モニタリングデータ</a:t>
          </a:r>
        </a:p>
      </xdr:txBody>
    </xdr:sp>
    <xdr:clientData/>
  </xdr:twoCellAnchor>
  <xdr:twoCellAnchor>
    <xdr:from>
      <xdr:col>14</xdr:col>
      <xdr:colOff>51860</xdr:colOff>
      <xdr:row>18</xdr:row>
      <xdr:rowOff>155577</xdr:rowOff>
    </xdr:from>
    <xdr:to>
      <xdr:col>19</xdr:col>
      <xdr:colOff>136524</xdr:colOff>
      <xdr:row>21</xdr:row>
      <xdr:rowOff>4418</xdr:rowOff>
    </xdr:to>
    <xdr:sp macro="" textlink="">
      <xdr:nvSpPr>
        <xdr:cNvPr id="427" name="正方形/長方形 426">
          <a:extLst>
            <a:ext uri="{FF2B5EF4-FFF2-40B4-BE49-F238E27FC236}">
              <a16:creationId xmlns:a16="http://schemas.microsoft.com/office/drawing/2014/main" id="{061AFAFE-EBC9-459E-9D6A-66F6598B02C7}"/>
            </a:ext>
          </a:extLst>
        </xdr:cNvPr>
        <xdr:cNvSpPr/>
      </xdr:nvSpPr>
      <xdr:spPr>
        <a:xfrm>
          <a:off x="2718860" y="3841752"/>
          <a:ext cx="1037164" cy="391766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T00_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受注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73031</xdr:colOff>
      <xdr:row>18</xdr:row>
      <xdr:rowOff>155575</xdr:rowOff>
    </xdr:from>
    <xdr:to>
      <xdr:col>28</xdr:col>
      <xdr:colOff>9530</xdr:colOff>
      <xdr:row>21</xdr:row>
      <xdr:rowOff>5475</xdr:rowOff>
    </xdr:to>
    <xdr:sp macro="" textlink="">
      <xdr:nvSpPr>
        <xdr:cNvPr id="428" name="正方形/長方形 427">
          <a:extLst>
            <a:ext uri="{FF2B5EF4-FFF2-40B4-BE49-F238E27FC236}">
              <a16:creationId xmlns:a16="http://schemas.microsoft.com/office/drawing/2014/main" id="{74C9D1D0-3B90-454C-840C-52D2B61E58FD}"/>
            </a:ext>
          </a:extLst>
        </xdr:cNvPr>
        <xdr:cNvSpPr/>
      </xdr:nvSpPr>
      <xdr:spPr>
        <a:xfrm>
          <a:off x="4264031" y="3841750"/>
          <a:ext cx="1079499" cy="392825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T03_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集計用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79387</xdr:colOff>
      <xdr:row>18</xdr:row>
      <xdr:rowOff>155573</xdr:rowOff>
    </xdr:from>
    <xdr:to>
      <xdr:col>39</xdr:col>
      <xdr:colOff>47629</xdr:colOff>
      <xdr:row>21</xdr:row>
      <xdr:rowOff>6532</xdr:rowOff>
    </xdr:to>
    <xdr:sp macro="" textlink="">
      <xdr:nvSpPr>
        <xdr:cNvPr id="429" name="正方形/長方形 428">
          <a:extLst>
            <a:ext uri="{FF2B5EF4-FFF2-40B4-BE49-F238E27FC236}">
              <a16:creationId xmlns:a16="http://schemas.microsoft.com/office/drawing/2014/main" id="{9F23B027-D949-474A-A450-1EAE2C145C79}"/>
            </a:ext>
          </a:extLst>
        </xdr:cNvPr>
        <xdr:cNvSpPr/>
      </xdr:nvSpPr>
      <xdr:spPr>
        <a:xfrm>
          <a:off x="5794387" y="3841748"/>
          <a:ext cx="1682742" cy="393884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T03_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集計用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_Q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積み上げ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70918</xdr:colOff>
      <xdr:row>18</xdr:row>
      <xdr:rowOff>28569</xdr:rowOff>
    </xdr:from>
    <xdr:to>
      <xdr:col>47</xdr:col>
      <xdr:colOff>113246</xdr:colOff>
      <xdr:row>21</xdr:row>
      <xdr:rowOff>131231</xdr:rowOff>
    </xdr:to>
    <xdr:sp macro="" textlink="">
      <xdr:nvSpPr>
        <xdr:cNvPr id="430" name="角丸四角形 307">
          <a:extLst>
            <a:ext uri="{FF2B5EF4-FFF2-40B4-BE49-F238E27FC236}">
              <a16:creationId xmlns:a16="http://schemas.microsoft.com/office/drawing/2014/main" id="{622430A1-733B-406C-A910-6EFA16B8AB1C}"/>
            </a:ext>
          </a:extLst>
        </xdr:cNvPr>
        <xdr:cNvSpPr/>
      </xdr:nvSpPr>
      <xdr:spPr>
        <a:xfrm>
          <a:off x="7881418" y="3714744"/>
          <a:ext cx="1185328" cy="645587"/>
        </a:xfrm>
        <a:prstGeom prst="roundRect">
          <a:avLst>
            <a:gd name="adj" fmla="val 21353"/>
          </a:avLst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中間テーブル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（データ集計）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73025</xdr:colOff>
      <xdr:row>12</xdr:row>
      <xdr:rowOff>73026</xdr:rowOff>
    </xdr:from>
    <xdr:to>
      <xdr:col>28</xdr:col>
      <xdr:colOff>17991</xdr:colOff>
      <xdr:row>14</xdr:row>
      <xdr:rowOff>42335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1DEFC32A-D8D5-46E1-B8EA-785C03A2887D}"/>
            </a:ext>
          </a:extLst>
        </xdr:cNvPr>
        <xdr:cNvSpPr/>
      </xdr:nvSpPr>
      <xdr:spPr>
        <a:xfrm>
          <a:off x="4264025" y="2673351"/>
          <a:ext cx="1087966" cy="331259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全ローデータ</a:t>
          </a:r>
        </a:p>
      </xdr:txBody>
    </xdr:sp>
    <xdr:clientData/>
  </xdr:twoCellAnchor>
  <xdr:twoCellAnchor>
    <xdr:from>
      <xdr:col>15</xdr:col>
      <xdr:colOff>102659</xdr:colOff>
      <xdr:row>12</xdr:row>
      <xdr:rowOff>66675</xdr:rowOff>
    </xdr:from>
    <xdr:to>
      <xdr:col>21</xdr:col>
      <xdr:colOff>47625</xdr:colOff>
      <xdr:row>14</xdr:row>
      <xdr:rowOff>35983</xdr:rowOff>
    </xdr:to>
    <xdr:sp macro="" textlink="">
      <xdr:nvSpPr>
        <xdr:cNvPr id="432" name="正方形/長方形 431">
          <a:extLst>
            <a:ext uri="{FF2B5EF4-FFF2-40B4-BE49-F238E27FC236}">
              <a16:creationId xmlns:a16="http://schemas.microsoft.com/office/drawing/2014/main" id="{0C40B704-DD2D-462F-B218-B908423F8007}"/>
            </a:ext>
          </a:extLst>
        </xdr:cNvPr>
        <xdr:cNvSpPr/>
      </xdr:nvSpPr>
      <xdr:spPr>
        <a:xfrm>
          <a:off x="2960159" y="2667000"/>
          <a:ext cx="1087966" cy="331258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原稿ローデータ</a:t>
          </a:r>
        </a:p>
      </xdr:txBody>
    </xdr:sp>
    <xdr:clientData/>
  </xdr:twoCellAnchor>
  <xdr:twoCellAnchor>
    <xdr:from>
      <xdr:col>56</xdr:col>
      <xdr:colOff>144993</xdr:colOff>
      <xdr:row>14</xdr:row>
      <xdr:rowOff>53977</xdr:rowOff>
    </xdr:from>
    <xdr:to>
      <xdr:col>61</xdr:col>
      <xdr:colOff>142874</xdr:colOff>
      <xdr:row>19</xdr:row>
      <xdr:rowOff>30689</xdr:rowOff>
    </xdr:to>
    <xdr:grpSp>
      <xdr:nvGrpSpPr>
        <xdr:cNvPr id="433" name="グループ化 432">
          <a:extLst>
            <a:ext uri="{FF2B5EF4-FFF2-40B4-BE49-F238E27FC236}">
              <a16:creationId xmlns:a16="http://schemas.microsoft.com/office/drawing/2014/main" id="{BD656A62-AEE2-44CA-815A-73F413A7F602}"/>
            </a:ext>
          </a:extLst>
        </xdr:cNvPr>
        <xdr:cNvGrpSpPr/>
      </xdr:nvGrpSpPr>
      <xdr:grpSpPr>
        <a:xfrm>
          <a:off x="10812993" y="2768602"/>
          <a:ext cx="950381" cy="881587"/>
          <a:chOff x="10181167" y="1492253"/>
          <a:chExt cx="952500" cy="881587"/>
        </a:xfrm>
      </xdr:grpSpPr>
      <xdr:grpSp>
        <xdr:nvGrpSpPr>
          <xdr:cNvPr id="434" name="グループ化 433">
            <a:extLst>
              <a:ext uri="{FF2B5EF4-FFF2-40B4-BE49-F238E27FC236}">
                <a16:creationId xmlns:a16="http://schemas.microsoft.com/office/drawing/2014/main" id="{44096AF2-EE60-433F-8497-79317FA58266}"/>
              </a:ext>
            </a:extLst>
          </xdr:cNvPr>
          <xdr:cNvGrpSpPr/>
        </xdr:nvGrpSpPr>
        <xdr:grpSpPr>
          <a:xfrm>
            <a:off x="10181167" y="1492253"/>
            <a:ext cx="952500" cy="881587"/>
            <a:chOff x="4042835" y="4423834"/>
            <a:chExt cx="952500" cy="881588"/>
          </a:xfrm>
        </xdr:grpSpPr>
        <xdr:pic>
          <xdr:nvPicPr>
            <xdr:cNvPr id="437" name="図 436">
              <a:extLst>
                <a:ext uri="{FF2B5EF4-FFF2-40B4-BE49-F238E27FC236}">
                  <a16:creationId xmlns:a16="http://schemas.microsoft.com/office/drawing/2014/main" id="{A96C403B-9CAA-4876-B02F-1F40E57858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22211" y="4423834"/>
              <a:ext cx="538691" cy="538691"/>
            </a:xfrm>
            <a:prstGeom prst="rect">
              <a:avLst/>
            </a:prstGeom>
          </xdr:spPr>
        </xdr:pic>
        <xdr:sp macro="" textlink="">
          <xdr:nvSpPr>
            <xdr:cNvPr id="438" name="テキスト ボックス 437">
              <a:extLst>
                <a:ext uri="{FF2B5EF4-FFF2-40B4-BE49-F238E27FC236}">
                  <a16:creationId xmlns:a16="http://schemas.microsoft.com/office/drawing/2014/main" id="{AFFB3DE9-A416-4F51-AB25-7C539433FD33}"/>
                </a:ext>
              </a:extLst>
            </xdr:cNvPr>
            <xdr:cNvSpPr txBox="1"/>
          </xdr:nvSpPr>
          <xdr:spPr>
            <a:xfrm>
              <a:off x="4042835" y="5029197"/>
              <a:ext cx="9525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latin typeface="Meiryo UI" panose="020B0604030504040204" pitchFamily="50" charset="-128"/>
                  <a:ea typeface="Meiryo UI" panose="020B0604030504040204" pitchFamily="50" charset="-128"/>
                </a:rPr>
                <a:t>直販 レポート</a:t>
              </a:r>
            </a:p>
          </xdr:txBody>
        </xdr:sp>
      </xdr:grpSp>
      <xdr:pic>
        <xdr:nvPicPr>
          <xdr:cNvPr id="435" name="図 434">
            <a:extLst>
              <a:ext uri="{FF2B5EF4-FFF2-40B4-BE49-F238E27FC236}">
                <a16:creationId xmlns:a16="http://schemas.microsoft.com/office/drawing/2014/main" id="{E62A1E58-A8ED-415D-859A-E06AA81F8F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61084" y="1576919"/>
            <a:ext cx="538691" cy="538690"/>
          </a:xfrm>
          <a:prstGeom prst="rect">
            <a:avLst/>
          </a:prstGeom>
        </xdr:spPr>
      </xdr:pic>
      <xdr:pic>
        <xdr:nvPicPr>
          <xdr:cNvPr id="436" name="図 435">
            <a:extLst>
              <a:ext uri="{FF2B5EF4-FFF2-40B4-BE49-F238E27FC236}">
                <a16:creationId xmlns:a16="http://schemas.microsoft.com/office/drawing/2014/main" id="{B5398698-45C6-4F02-A0B8-971E3F109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1149" y="1644652"/>
            <a:ext cx="538691" cy="538690"/>
          </a:xfrm>
          <a:prstGeom prst="rect">
            <a:avLst/>
          </a:prstGeom>
        </xdr:spPr>
      </xdr:pic>
    </xdr:grpSp>
    <xdr:clientData/>
  </xdr:twoCellAnchor>
  <xdr:twoCellAnchor>
    <xdr:from>
      <xdr:col>56</xdr:col>
      <xdr:colOff>139703</xdr:colOff>
      <xdr:row>21</xdr:row>
      <xdr:rowOff>82553</xdr:rowOff>
    </xdr:from>
    <xdr:to>
      <xdr:col>61</xdr:col>
      <xdr:colOff>137585</xdr:colOff>
      <xdr:row>26</xdr:row>
      <xdr:rowOff>59265</xdr:rowOff>
    </xdr:to>
    <xdr:grpSp>
      <xdr:nvGrpSpPr>
        <xdr:cNvPr id="439" name="グループ化 438">
          <a:extLst>
            <a:ext uri="{FF2B5EF4-FFF2-40B4-BE49-F238E27FC236}">
              <a16:creationId xmlns:a16="http://schemas.microsoft.com/office/drawing/2014/main" id="{37FB9DBD-8347-4A9F-B486-A39C1724D9AE}"/>
            </a:ext>
          </a:extLst>
        </xdr:cNvPr>
        <xdr:cNvGrpSpPr/>
      </xdr:nvGrpSpPr>
      <xdr:grpSpPr>
        <a:xfrm>
          <a:off x="10807703" y="4064003"/>
          <a:ext cx="950382" cy="881587"/>
          <a:chOff x="10181167" y="1492253"/>
          <a:chExt cx="952500" cy="881587"/>
        </a:xfrm>
      </xdr:grpSpPr>
      <xdr:grpSp>
        <xdr:nvGrpSpPr>
          <xdr:cNvPr id="440" name="グループ化 439">
            <a:extLst>
              <a:ext uri="{FF2B5EF4-FFF2-40B4-BE49-F238E27FC236}">
                <a16:creationId xmlns:a16="http://schemas.microsoft.com/office/drawing/2014/main" id="{BBDF51AE-7179-4C21-BB61-BE2BC05E2A8C}"/>
              </a:ext>
            </a:extLst>
          </xdr:cNvPr>
          <xdr:cNvGrpSpPr/>
        </xdr:nvGrpSpPr>
        <xdr:grpSpPr>
          <a:xfrm>
            <a:off x="10181167" y="1492253"/>
            <a:ext cx="952500" cy="881587"/>
            <a:chOff x="4042835" y="4423834"/>
            <a:chExt cx="952500" cy="881588"/>
          </a:xfrm>
        </xdr:grpSpPr>
        <xdr:pic>
          <xdr:nvPicPr>
            <xdr:cNvPr id="443" name="図 442">
              <a:extLst>
                <a:ext uri="{FF2B5EF4-FFF2-40B4-BE49-F238E27FC236}">
                  <a16:creationId xmlns:a16="http://schemas.microsoft.com/office/drawing/2014/main" id="{C26348E1-1FCA-4019-9506-F9DE4D48E0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22211" y="4423834"/>
              <a:ext cx="538691" cy="538691"/>
            </a:xfrm>
            <a:prstGeom prst="rect">
              <a:avLst/>
            </a:prstGeom>
          </xdr:spPr>
        </xdr:pic>
        <xdr:sp macro="" textlink="">
          <xdr:nvSpPr>
            <xdr:cNvPr id="444" name="テキスト ボックス 443">
              <a:extLst>
                <a:ext uri="{FF2B5EF4-FFF2-40B4-BE49-F238E27FC236}">
                  <a16:creationId xmlns:a16="http://schemas.microsoft.com/office/drawing/2014/main" id="{E648F4AD-6D54-4C3B-864D-45D5AF741F79}"/>
                </a:ext>
              </a:extLst>
            </xdr:cNvPr>
            <xdr:cNvSpPr txBox="1"/>
          </xdr:nvSpPr>
          <xdr:spPr>
            <a:xfrm>
              <a:off x="4042835" y="5029197"/>
              <a:ext cx="9525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latin typeface="Meiryo UI" panose="020B0604030504040204" pitchFamily="50" charset="-128"/>
                  <a:ea typeface="Meiryo UI" panose="020B0604030504040204" pitchFamily="50" charset="-128"/>
                </a:rPr>
                <a:t>パ</a:t>
              </a:r>
              <a:r>
                <a:rPr kumimoji="1" lang="en-US" altLang="ja-JP" sz="1000" b="1">
                  <a:latin typeface="Meiryo UI" panose="020B0604030504040204" pitchFamily="50" charset="-128"/>
                  <a:ea typeface="Meiryo UI" panose="020B0604030504040204" pitchFamily="50" charset="-128"/>
                </a:rPr>
                <a:t>U</a:t>
              </a:r>
              <a:r>
                <a:rPr kumimoji="1" lang="ja-JP" altLang="en-US" sz="1000" b="1">
                  <a:latin typeface="Meiryo UI" panose="020B0604030504040204" pitchFamily="50" charset="-128"/>
                  <a:ea typeface="Meiryo UI" panose="020B0604030504040204" pitchFamily="50" charset="-128"/>
                </a:rPr>
                <a:t> レポート</a:t>
              </a:r>
            </a:p>
          </xdr:txBody>
        </xdr:sp>
      </xdr:grpSp>
      <xdr:pic>
        <xdr:nvPicPr>
          <xdr:cNvPr id="441" name="図 440">
            <a:extLst>
              <a:ext uri="{FF2B5EF4-FFF2-40B4-BE49-F238E27FC236}">
                <a16:creationId xmlns:a16="http://schemas.microsoft.com/office/drawing/2014/main" id="{2CEDBE13-AAAA-471A-8444-58D95DD346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61084" y="1576919"/>
            <a:ext cx="538691" cy="538690"/>
          </a:xfrm>
          <a:prstGeom prst="rect">
            <a:avLst/>
          </a:prstGeom>
        </xdr:spPr>
      </xdr:pic>
      <xdr:pic>
        <xdr:nvPicPr>
          <xdr:cNvPr id="442" name="図 441">
            <a:extLst>
              <a:ext uri="{FF2B5EF4-FFF2-40B4-BE49-F238E27FC236}">
                <a16:creationId xmlns:a16="http://schemas.microsoft.com/office/drawing/2014/main" id="{98FE2FED-7B6F-4B8F-9F2F-225B235AF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1149" y="1644652"/>
            <a:ext cx="538691" cy="5386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136526</xdr:colOff>
      <xdr:row>14</xdr:row>
      <xdr:rowOff>22226</xdr:rowOff>
    </xdr:from>
    <xdr:to>
      <xdr:col>11</xdr:col>
      <xdr:colOff>168275</xdr:colOff>
      <xdr:row>19</xdr:row>
      <xdr:rowOff>38101</xdr:rowOff>
    </xdr:to>
    <xdr:grpSp>
      <xdr:nvGrpSpPr>
        <xdr:cNvPr id="445" name="グループ化 444">
          <a:extLst>
            <a:ext uri="{FF2B5EF4-FFF2-40B4-BE49-F238E27FC236}">
              <a16:creationId xmlns:a16="http://schemas.microsoft.com/office/drawing/2014/main" id="{1BFEEAC7-964A-490C-B35C-54376AE6B79B}"/>
            </a:ext>
          </a:extLst>
        </xdr:cNvPr>
        <xdr:cNvGrpSpPr/>
      </xdr:nvGrpSpPr>
      <xdr:grpSpPr>
        <a:xfrm>
          <a:off x="517526" y="2736851"/>
          <a:ext cx="1746249" cy="920750"/>
          <a:chOff x="533898" y="2857500"/>
          <a:chExt cx="1432213" cy="920750"/>
        </a:xfrm>
      </xdr:grpSpPr>
      <xdr:sp macro="" textlink="">
        <xdr:nvSpPr>
          <xdr:cNvPr id="446" name="正方形/長方形 445">
            <a:extLst>
              <a:ext uri="{FF2B5EF4-FFF2-40B4-BE49-F238E27FC236}">
                <a16:creationId xmlns:a16="http://schemas.microsoft.com/office/drawing/2014/main" id="{626D7E7A-6208-4051-AE80-E0A1CBF1A1C1}"/>
              </a:ext>
            </a:extLst>
          </xdr:cNvPr>
          <xdr:cNvSpPr/>
        </xdr:nvSpPr>
        <xdr:spPr>
          <a:xfrm>
            <a:off x="920750" y="2857500"/>
            <a:ext cx="468841" cy="57361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47" name="グループ化 446">
            <a:extLst>
              <a:ext uri="{FF2B5EF4-FFF2-40B4-BE49-F238E27FC236}">
                <a16:creationId xmlns:a16="http://schemas.microsoft.com/office/drawing/2014/main" id="{2808BDC7-DE2C-4F9E-BB5C-FCBB3D229CC3}"/>
              </a:ext>
            </a:extLst>
          </xdr:cNvPr>
          <xdr:cNvGrpSpPr/>
        </xdr:nvGrpSpPr>
        <xdr:grpSpPr>
          <a:xfrm>
            <a:off x="533898" y="2895600"/>
            <a:ext cx="1432213" cy="882650"/>
            <a:chOff x="1147731" y="2355851"/>
            <a:chExt cx="1432213" cy="882650"/>
          </a:xfrm>
        </xdr:grpSpPr>
        <xdr:pic>
          <xdr:nvPicPr>
            <xdr:cNvPr id="448" name="図 447">
              <a:extLst>
                <a:ext uri="{FF2B5EF4-FFF2-40B4-BE49-F238E27FC236}">
                  <a16:creationId xmlns:a16="http://schemas.microsoft.com/office/drawing/2014/main" id="{A22AB4C1-E2B4-4A79-A528-2936D59D466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492" b="27322"/>
            <a:stretch/>
          </xdr:blipFill>
          <xdr:spPr>
            <a:xfrm>
              <a:off x="1547320" y="2355851"/>
              <a:ext cx="615979" cy="663575"/>
            </a:xfrm>
            <a:prstGeom prst="rect">
              <a:avLst/>
            </a:prstGeom>
          </xdr:spPr>
        </xdr:pic>
        <xdr:sp macro="" textlink="">
          <xdr:nvSpPr>
            <xdr:cNvPr id="449" name="テキスト ボックス 448">
              <a:extLst>
                <a:ext uri="{FF2B5EF4-FFF2-40B4-BE49-F238E27FC236}">
                  <a16:creationId xmlns:a16="http://schemas.microsoft.com/office/drawing/2014/main" id="{9AC935CD-6361-4125-A856-550F491EEC37}"/>
                </a:ext>
              </a:extLst>
            </xdr:cNvPr>
            <xdr:cNvSpPr txBox="1"/>
          </xdr:nvSpPr>
          <xdr:spPr>
            <a:xfrm>
              <a:off x="1147731" y="2963334"/>
              <a:ext cx="1432213" cy="2751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 b="0">
                  <a:latin typeface="Meiryo UI" panose="020B0604030504040204" pitchFamily="50" charset="-128"/>
                  <a:ea typeface="Meiryo UI" panose="020B0604030504040204" pitchFamily="50" charset="-128"/>
                </a:rPr>
                <a:t>RINDBG.</a:t>
              </a:r>
              <a:r>
                <a:rPr kumimoji="1" lang="ja-JP" altLang="en-US" sz="900" b="0">
                  <a:latin typeface="Meiryo UI" panose="020B0604030504040204" pitchFamily="50" charset="-128"/>
                  <a:ea typeface="Meiryo UI" panose="020B0604030504040204" pitchFamily="50" charset="-128"/>
                </a:rPr>
                <a:t>ＨＲ受注＿統合受注</a:t>
              </a:r>
            </a:p>
          </xdr:txBody>
        </xdr:sp>
      </xdr:grpSp>
    </xdr:grpSp>
    <xdr:clientData/>
  </xdr:twoCellAnchor>
  <xdr:twoCellAnchor>
    <xdr:from>
      <xdr:col>19</xdr:col>
      <xdr:colOff>136524</xdr:colOff>
      <xdr:row>19</xdr:row>
      <xdr:rowOff>170485</xdr:rowOff>
    </xdr:from>
    <xdr:to>
      <xdr:col>22</xdr:col>
      <xdr:colOff>73031</xdr:colOff>
      <xdr:row>19</xdr:row>
      <xdr:rowOff>171013</xdr:rowOff>
    </xdr:to>
    <xdr:cxnSp macro="">
      <xdr:nvCxnSpPr>
        <xdr:cNvPr id="450" name="直線矢印コネクタ 449">
          <a:extLst>
            <a:ext uri="{FF2B5EF4-FFF2-40B4-BE49-F238E27FC236}">
              <a16:creationId xmlns:a16="http://schemas.microsoft.com/office/drawing/2014/main" id="{F8516F1A-0F23-4696-BDC4-549E39DC2411}"/>
            </a:ext>
          </a:extLst>
        </xdr:cNvPr>
        <xdr:cNvCxnSpPr>
          <a:stCxn id="427" idx="3"/>
          <a:endCxn id="428" idx="1"/>
        </xdr:cNvCxnSpPr>
      </xdr:nvCxnSpPr>
      <xdr:spPr>
        <a:xfrm>
          <a:off x="3756024" y="4037635"/>
          <a:ext cx="508007" cy="528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9530</xdr:colOff>
      <xdr:row>19</xdr:row>
      <xdr:rowOff>171012</xdr:rowOff>
    </xdr:from>
    <xdr:to>
      <xdr:col>30</xdr:col>
      <xdr:colOff>79387</xdr:colOff>
      <xdr:row>19</xdr:row>
      <xdr:rowOff>171540</xdr:rowOff>
    </xdr:to>
    <xdr:cxnSp macro="">
      <xdr:nvCxnSpPr>
        <xdr:cNvPr id="451" name="直線矢印コネクタ 450">
          <a:extLst>
            <a:ext uri="{FF2B5EF4-FFF2-40B4-BE49-F238E27FC236}">
              <a16:creationId xmlns:a16="http://schemas.microsoft.com/office/drawing/2014/main" id="{6B9919BE-3257-4DEC-A72E-F466C4510F1D}"/>
            </a:ext>
          </a:extLst>
        </xdr:cNvPr>
        <xdr:cNvCxnSpPr>
          <a:stCxn id="428" idx="3"/>
          <a:endCxn id="429" idx="1"/>
        </xdr:cNvCxnSpPr>
      </xdr:nvCxnSpPr>
      <xdr:spPr>
        <a:xfrm>
          <a:off x="5343530" y="4038162"/>
          <a:ext cx="450857" cy="528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47629</xdr:colOff>
      <xdr:row>19</xdr:row>
      <xdr:rowOff>170387</xdr:rowOff>
    </xdr:from>
    <xdr:to>
      <xdr:col>41</xdr:col>
      <xdr:colOff>70918</xdr:colOff>
      <xdr:row>19</xdr:row>
      <xdr:rowOff>171540</xdr:rowOff>
    </xdr:to>
    <xdr:cxnSp macro="">
      <xdr:nvCxnSpPr>
        <xdr:cNvPr id="452" name="直線矢印コネクタ 451">
          <a:extLst>
            <a:ext uri="{FF2B5EF4-FFF2-40B4-BE49-F238E27FC236}">
              <a16:creationId xmlns:a16="http://schemas.microsoft.com/office/drawing/2014/main" id="{0CAE85FD-6B0F-49B7-B6CB-AD5AAD95A00B}"/>
            </a:ext>
          </a:extLst>
        </xdr:cNvPr>
        <xdr:cNvCxnSpPr>
          <a:stCxn id="429" idx="3"/>
          <a:endCxn id="430" idx="1"/>
        </xdr:cNvCxnSpPr>
      </xdr:nvCxnSpPr>
      <xdr:spPr>
        <a:xfrm flipV="1">
          <a:off x="7477129" y="4037537"/>
          <a:ext cx="404289" cy="1153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75140</xdr:colOff>
      <xdr:row>14</xdr:row>
      <xdr:rowOff>35983</xdr:rowOff>
    </xdr:from>
    <xdr:to>
      <xdr:col>25</xdr:col>
      <xdr:colOff>41280</xdr:colOff>
      <xdr:row>18</xdr:row>
      <xdr:rowOff>155575</xdr:rowOff>
    </xdr:to>
    <xdr:cxnSp macro="">
      <xdr:nvCxnSpPr>
        <xdr:cNvPr id="453" name="カギ線コネクタ 357">
          <a:extLst>
            <a:ext uri="{FF2B5EF4-FFF2-40B4-BE49-F238E27FC236}">
              <a16:creationId xmlns:a16="http://schemas.microsoft.com/office/drawing/2014/main" id="{D70E04E4-BDF8-43D9-8587-9559232183F2}"/>
            </a:ext>
          </a:extLst>
        </xdr:cNvPr>
        <xdr:cNvCxnSpPr>
          <a:stCxn id="432" idx="2"/>
          <a:endCxn id="428" idx="0"/>
        </xdr:cNvCxnSpPr>
      </xdr:nvCxnSpPr>
      <xdr:spPr>
        <a:xfrm rot="16200000" flipH="1">
          <a:off x="3732214" y="2770184"/>
          <a:ext cx="843492" cy="1299640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113246</xdr:colOff>
      <xdr:row>16</xdr:row>
      <xdr:rowOff>60522</xdr:rowOff>
    </xdr:from>
    <xdr:to>
      <xdr:col>50</xdr:col>
      <xdr:colOff>161937</xdr:colOff>
      <xdr:row>19</xdr:row>
      <xdr:rowOff>170387</xdr:rowOff>
    </xdr:to>
    <xdr:cxnSp macro="">
      <xdr:nvCxnSpPr>
        <xdr:cNvPr id="454" name="カギ線コネクタ 358">
          <a:extLst>
            <a:ext uri="{FF2B5EF4-FFF2-40B4-BE49-F238E27FC236}">
              <a16:creationId xmlns:a16="http://schemas.microsoft.com/office/drawing/2014/main" id="{5E2C4ADC-8D06-443E-BC83-F9319107F042}"/>
            </a:ext>
          </a:extLst>
        </xdr:cNvPr>
        <xdr:cNvCxnSpPr>
          <a:stCxn id="430" idx="3"/>
          <a:endCxn id="457" idx="1"/>
        </xdr:cNvCxnSpPr>
      </xdr:nvCxnSpPr>
      <xdr:spPr>
        <a:xfrm flipV="1">
          <a:off x="9066746" y="3384747"/>
          <a:ext cx="620191" cy="652790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113246</xdr:colOff>
      <xdr:row>19</xdr:row>
      <xdr:rowOff>170387</xdr:rowOff>
    </xdr:from>
    <xdr:to>
      <xdr:col>50</xdr:col>
      <xdr:colOff>166364</xdr:colOff>
      <xdr:row>23</xdr:row>
      <xdr:rowOff>77319</xdr:rowOff>
    </xdr:to>
    <xdr:cxnSp macro="">
      <xdr:nvCxnSpPr>
        <xdr:cNvPr id="455" name="カギ線コネクタ 359">
          <a:extLst>
            <a:ext uri="{FF2B5EF4-FFF2-40B4-BE49-F238E27FC236}">
              <a16:creationId xmlns:a16="http://schemas.microsoft.com/office/drawing/2014/main" id="{E6498F5C-6FF8-4F42-805C-261E795A80D7}"/>
            </a:ext>
          </a:extLst>
        </xdr:cNvPr>
        <xdr:cNvCxnSpPr>
          <a:stCxn id="430" idx="3"/>
          <a:endCxn id="460" idx="1"/>
        </xdr:cNvCxnSpPr>
      </xdr:nvCxnSpPr>
      <xdr:spPr>
        <a:xfrm>
          <a:off x="9066746" y="4037537"/>
          <a:ext cx="624618" cy="630832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94191</xdr:colOff>
      <xdr:row>14</xdr:row>
      <xdr:rowOff>138639</xdr:rowOff>
    </xdr:from>
    <xdr:to>
      <xdr:col>54</xdr:col>
      <xdr:colOff>189442</xdr:colOff>
      <xdr:row>18</xdr:row>
      <xdr:rowOff>148163</xdr:rowOff>
    </xdr:to>
    <xdr:grpSp>
      <xdr:nvGrpSpPr>
        <xdr:cNvPr id="456" name="グループ化 455">
          <a:extLst>
            <a:ext uri="{FF2B5EF4-FFF2-40B4-BE49-F238E27FC236}">
              <a16:creationId xmlns:a16="http://schemas.microsoft.com/office/drawing/2014/main" id="{DA3C3388-0141-4188-892D-5C4FAE9460FC}"/>
            </a:ext>
          </a:extLst>
        </xdr:cNvPr>
        <xdr:cNvGrpSpPr/>
      </xdr:nvGrpSpPr>
      <xdr:grpSpPr>
        <a:xfrm>
          <a:off x="9428691" y="2853264"/>
          <a:ext cx="1047751" cy="733424"/>
          <a:chOff x="9175749" y="1661581"/>
          <a:chExt cx="1047750" cy="733424"/>
        </a:xfrm>
      </xdr:grpSpPr>
      <xdr:pic>
        <xdr:nvPicPr>
          <xdr:cNvPr id="457" name="図 456">
            <a:extLst>
              <a:ext uri="{FF2B5EF4-FFF2-40B4-BE49-F238E27FC236}">
                <a16:creationId xmlns:a16="http://schemas.microsoft.com/office/drawing/2014/main" id="{1FD46496-8E9F-4929-A8EC-DE00EC94DE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458" name="テキスト ボックス 457">
            <a:extLst>
              <a:ext uri="{FF2B5EF4-FFF2-40B4-BE49-F238E27FC236}">
                <a16:creationId xmlns:a16="http://schemas.microsoft.com/office/drawing/2014/main" id="{8FC1F8FD-C6A0-469F-9657-58E374828525}"/>
              </a:ext>
            </a:extLst>
          </xdr:cNvPr>
          <xdr:cNvSpPr txBox="1"/>
        </xdr:nvSpPr>
        <xdr:spPr>
          <a:xfrm>
            <a:off x="9175749" y="2118780"/>
            <a:ext cx="10477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1">
                <a:latin typeface="Meiryo UI" panose="020B0604030504040204" pitchFamily="50" charset="-128"/>
                <a:ea typeface="Meiryo UI" panose="020B0604030504040204" pitchFamily="50" charset="-128"/>
              </a:rPr>
              <a:t>直販 </a:t>
            </a:r>
            <a:r>
              <a:rPr kumimoji="1" lang="en-US" altLang="ja-JP" sz="1000" b="1">
                <a:latin typeface="Meiryo UI" panose="020B0604030504040204" pitchFamily="50" charset="-128"/>
                <a:ea typeface="Meiryo UI" panose="020B0604030504040204" pitchFamily="50" charset="-128"/>
              </a:rPr>
              <a:t>format</a:t>
            </a:r>
            <a:endPara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49</xdr:col>
      <xdr:colOff>147107</xdr:colOff>
      <xdr:row>21</xdr:row>
      <xdr:rowOff>156630</xdr:rowOff>
    </xdr:from>
    <xdr:to>
      <xdr:col>55</xdr:col>
      <xdr:colOff>30692</xdr:colOff>
      <xdr:row>26</xdr:row>
      <xdr:rowOff>21848</xdr:rowOff>
    </xdr:to>
    <xdr:grpSp>
      <xdr:nvGrpSpPr>
        <xdr:cNvPr id="459" name="グループ化 458">
          <a:extLst>
            <a:ext uri="{FF2B5EF4-FFF2-40B4-BE49-F238E27FC236}">
              <a16:creationId xmlns:a16="http://schemas.microsoft.com/office/drawing/2014/main" id="{2ECADA1C-0A72-485B-BA14-BDE9F99872BB}"/>
            </a:ext>
          </a:extLst>
        </xdr:cNvPr>
        <xdr:cNvGrpSpPr/>
      </xdr:nvGrpSpPr>
      <xdr:grpSpPr>
        <a:xfrm>
          <a:off x="9481607" y="4138080"/>
          <a:ext cx="1026585" cy="770093"/>
          <a:chOff x="9224420" y="1661583"/>
          <a:chExt cx="1026584" cy="733422"/>
        </a:xfrm>
      </xdr:grpSpPr>
      <xdr:pic>
        <xdr:nvPicPr>
          <xdr:cNvPr id="460" name="図 459">
            <a:extLst>
              <a:ext uri="{FF2B5EF4-FFF2-40B4-BE49-F238E27FC236}">
                <a16:creationId xmlns:a16="http://schemas.microsoft.com/office/drawing/2014/main" id="{81209703-823D-4009-A771-2138F9E0F0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5" y="1661583"/>
            <a:ext cx="538691" cy="538691"/>
          </a:xfrm>
          <a:prstGeom prst="rect">
            <a:avLst/>
          </a:prstGeom>
        </xdr:spPr>
      </xdr:pic>
      <xdr:sp macro="" textlink="">
        <xdr:nvSpPr>
          <xdr:cNvPr id="461" name="テキスト ボックス 460">
            <a:extLst>
              <a:ext uri="{FF2B5EF4-FFF2-40B4-BE49-F238E27FC236}">
                <a16:creationId xmlns:a16="http://schemas.microsoft.com/office/drawing/2014/main" id="{4C3121E2-184A-4E3B-B67D-22F22AFFE386}"/>
              </a:ext>
            </a:extLst>
          </xdr:cNvPr>
          <xdr:cNvSpPr txBox="1"/>
        </xdr:nvSpPr>
        <xdr:spPr>
          <a:xfrm>
            <a:off x="9224420" y="2118780"/>
            <a:ext cx="1026584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1">
                <a:latin typeface="Meiryo UI" panose="020B0604030504040204" pitchFamily="50" charset="-128"/>
                <a:ea typeface="Meiryo UI" panose="020B0604030504040204" pitchFamily="50" charset="-128"/>
              </a:rPr>
              <a:t>パ</a:t>
            </a:r>
            <a:r>
              <a:rPr kumimoji="1" lang="en-US" altLang="ja-JP" sz="1000" b="1">
                <a:latin typeface="Meiryo UI" panose="020B0604030504040204" pitchFamily="50" charset="-128"/>
                <a:ea typeface="Meiryo UI" panose="020B0604030504040204" pitchFamily="50" charset="-128"/>
              </a:rPr>
              <a:t>U</a:t>
            </a:r>
            <a:r>
              <a:rPr kumimoji="1" lang="ja-JP" altLang="en-US" sz="1000" b="1">
                <a:latin typeface="Meiryo UI" panose="020B0604030504040204" pitchFamily="50" charset="-128"/>
                <a:ea typeface="Meiryo UI" panose="020B0604030504040204" pitchFamily="50" charset="-128"/>
              </a:rPr>
              <a:t> </a:t>
            </a:r>
            <a:r>
              <a:rPr kumimoji="1" lang="en-US" altLang="ja-JP" sz="1000" b="1">
                <a:latin typeface="Meiryo UI" panose="020B0604030504040204" pitchFamily="50" charset="-128"/>
                <a:ea typeface="Meiryo UI" panose="020B0604030504040204" pitchFamily="50" charset="-128"/>
              </a:rPr>
              <a:t>format</a:t>
            </a:r>
            <a:endPara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53</xdr:col>
      <xdr:colOff>157988</xdr:colOff>
      <xdr:row>15</xdr:row>
      <xdr:rowOff>169333</xdr:rowOff>
    </xdr:from>
    <xdr:to>
      <xdr:col>56</xdr:col>
      <xdr:colOff>164604</xdr:colOff>
      <xdr:row>15</xdr:row>
      <xdr:rowOff>169333</xdr:rowOff>
    </xdr:to>
    <xdr:cxnSp macro="">
      <xdr:nvCxnSpPr>
        <xdr:cNvPr id="462" name="直線矢印コネクタ 461">
          <a:extLst>
            <a:ext uri="{FF2B5EF4-FFF2-40B4-BE49-F238E27FC236}">
              <a16:creationId xmlns:a16="http://schemas.microsoft.com/office/drawing/2014/main" id="{105F3838-3A4C-4568-8227-90214E4952B4}"/>
            </a:ext>
          </a:extLst>
        </xdr:cNvPr>
        <xdr:cNvCxnSpPr>
          <a:stCxn id="457" idx="3"/>
        </xdr:cNvCxnSpPr>
      </xdr:nvCxnSpPr>
      <xdr:spPr>
        <a:xfrm flipV="1">
          <a:off x="10254488" y="3312583"/>
          <a:ext cx="578116" cy="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132308</xdr:colOff>
      <xdr:row>23</xdr:row>
      <xdr:rowOff>77493</xdr:rowOff>
    </xdr:from>
    <xdr:to>
      <xdr:col>56</xdr:col>
      <xdr:colOff>138924</xdr:colOff>
      <xdr:row>23</xdr:row>
      <xdr:rowOff>77493</xdr:rowOff>
    </xdr:to>
    <xdr:cxnSp macro="">
      <xdr:nvCxnSpPr>
        <xdr:cNvPr id="463" name="直線矢印コネクタ 462">
          <a:extLst>
            <a:ext uri="{FF2B5EF4-FFF2-40B4-BE49-F238E27FC236}">
              <a16:creationId xmlns:a16="http://schemas.microsoft.com/office/drawing/2014/main" id="{29C7AF64-BE4E-4A1F-8DA3-BEA73F66B91C}"/>
            </a:ext>
          </a:extLst>
        </xdr:cNvPr>
        <xdr:cNvCxnSpPr>
          <a:stCxn id="460" idx="3"/>
        </xdr:cNvCxnSpPr>
      </xdr:nvCxnSpPr>
      <xdr:spPr>
        <a:xfrm>
          <a:off x="10228808" y="4668543"/>
          <a:ext cx="578116" cy="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168273</xdr:colOff>
      <xdr:row>12</xdr:row>
      <xdr:rowOff>66676</xdr:rowOff>
    </xdr:from>
    <xdr:to>
      <xdr:col>35</xdr:col>
      <xdr:colOff>162983</xdr:colOff>
      <xdr:row>14</xdr:row>
      <xdr:rowOff>35986</xdr:rowOff>
    </xdr:to>
    <xdr:sp macro="" textlink="">
      <xdr:nvSpPr>
        <xdr:cNvPr id="464" name="正方形/長方形 463">
          <a:extLst>
            <a:ext uri="{FF2B5EF4-FFF2-40B4-BE49-F238E27FC236}">
              <a16:creationId xmlns:a16="http://schemas.microsoft.com/office/drawing/2014/main" id="{5FB0ADCC-4BE3-46F5-B16F-272838C14757}"/>
            </a:ext>
          </a:extLst>
        </xdr:cNvPr>
        <xdr:cNvSpPr/>
      </xdr:nvSpPr>
      <xdr:spPr>
        <a:xfrm>
          <a:off x="5502273" y="2667001"/>
          <a:ext cx="1328210" cy="331260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T01_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うけるくんデータ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41282</xdr:colOff>
      <xdr:row>14</xdr:row>
      <xdr:rowOff>35985</xdr:rowOff>
    </xdr:from>
    <xdr:to>
      <xdr:col>32</xdr:col>
      <xdr:colOff>70380</xdr:colOff>
      <xdr:row>18</xdr:row>
      <xdr:rowOff>155574</xdr:rowOff>
    </xdr:to>
    <xdr:cxnSp macro="">
      <xdr:nvCxnSpPr>
        <xdr:cNvPr id="465" name="カギ線コネクタ 369">
          <a:extLst>
            <a:ext uri="{FF2B5EF4-FFF2-40B4-BE49-F238E27FC236}">
              <a16:creationId xmlns:a16="http://schemas.microsoft.com/office/drawing/2014/main" id="{8F93131A-29A5-432A-9F08-252BA0FB9027}"/>
            </a:ext>
          </a:extLst>
        </xdr:cNvPr>
        <xdr:cNvCxnSpPr>
          <a:stCxn id="464" idx="2"/>
          <a:endCxn id="428" idx="0"/>
        </xdr:cNvCxnSpPr>
      </xdr:nvCxnSpPr>
      <xdr:spPr>
        <a:xfrm rot="5400000">
          <a:off x="5063336" y="2738706"/>
          <a:ext cx="843489" cy="1362598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41281</xdr:colOff>
      <xdr:row>14</xdr:row>
      <xdr:rowOff>42335</xdr:rowOff>
    </xdr:from>
    <xdr:to>
      <xdr:col>25</xdr:col>
      <xdr:colOff>45509</xdr:colOff>
      <xdr:row>18</xdr:row>
      <xdr:rowOff>155575</xdr:rowOff>
    </xdr:to>
    <xdr:cxnSp macro="">
      <xdr:nvCxnSpPr>
        <xdr:cNvPr id="466" name="直線矢印コネクタ 465">
          <a:extLst>
            <a:ext uri="{FF2B5EF4-FFF2-40B4-BE49-F238E27FC236}">
              <a16:creationId xmlns:a16="http://schemas.microsoft.com/office/drawing/2014/main" id="{EDDFEB72-B9B5-4461-BF5B-5B7BBF0C311B}"/>
            </a:ext>
          </a:extLst>
        </xdr:cNvPr>
        <xdr:cNvCxnSpPr>
          <a:stCxn id="431" idx="2"/>
          <a:endCxn id="428" idx="0"/>
        </xdr:cNvCxnSpPr>
      </xdr:nvCxnSpPr>
      <xdr:spPr>
        <a:xfrm flipH="1">
          <a:off x="4803781" y="3004610"/>
          <a:ext cx="4228" cy="83714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61404</xdr:colOff>
      <xdr:row>9</xdr:row>
      <xdr:rowOff>158593</xdr:rowOff>
    </xdr:from>
    <xdr:to>
      <xdr:col>32</xdr:col>
      <xdr:colOff>70379</xdr:colOff>
      <xdr:row>12</xdr:row>
      <xdr:rowOff>66676</xdr:rowOff>
    </xdr:to>
    <xdr:cxnSp macro="">
      <xdr:nvCxnSpPr>
        <xdr:cNvPr id="467" name="直線矢印コネクタ 466">
          <a:extLst>
            <a:ext uri="{FF2B5EF4-FFF2-40B4-BE49-F238E27FC236}">
              <a16:creationId xmlns:a16="http://schemas.microsoft.com/office/drawing/2014/main" id="{BA2EE180-6FEE-483A-9E53-E0EACA69BC76}"/>
            </a:ext>
          </a:extLst>
        </xdr:cNvPr>
        <xdr:cNvCxnSpPr>
          <a:stCxn id="481" idx="2"/>
          <a:endCxn id="464" idx="0"/>
        </xdr:cNvCxnSpPr>
      </xdr:nvCxnSpPr>
      <xdr:spPr>
        <a:xfrm>
          <a:off x="6157404" y="2215993"/>
          <a:ext cx="8975" cy="451008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74161</xdr:colOff>
      <xdr:row>6</xdr:row>
      <xdr:rowOff>24431</xdr:rowOff>
    </xdr:from>
    <xdr:to>
      <xdr:col>27</xdr:col>
      <xdr:colOff>6967</xdr:colOff>
      <xdr:row>10</xdr:row>
      <xdr:rowOff>12580</xdr:rowOff>
    </xdr:to>
    <xdr:grpSp>
      <xdr:nvGrpSpPr>
        <xdr:cNvPr id="468" name="グループ化 467">
          <a:extLst>
            <a:ext uri="{FF2B5EF4-FFF2-40B4-BE49-F238E27FC236}">
              <a16:creationId xmlns:a16="http://schemas.microsoft.com/office/drawing/2014/main" id="{D80FA85D-7549-437E-8206-D710C31BE626}"/>
            </a:ext>
          </a:extLst>
        </xdr:cNvPr>
        <xdr:cNvGrpSpPr/>
      </xdr:nvGrpSpPr>
      <xdr:grpSpPr>
        <a:xfrm>
          <a:off x="4455661" y="1291256"/>
          <a:ext cx="694806" cy="712049"/>
          <a:chOff x="3684136" y="766322"/>
          <a:chExt cx="694806" cy="712049"/>
        </a:xfrm>
      </xdr:grpSpPr>
      <xdr:sp macro="" textlink="">
        <xdr:nvSpPr>
          <xdr:cNvPr id="469" name="正方形/長方形 468">
            <a:extLst>
              <a:ext uri="{FF2B5EF4-FFF2-40B4-BE49-F238E27FC236}">
                <a16:creationId xmlns:a16="http://schemas.microsoft.com/office/drawing/2014/main" id="{484DF562-B6EA-4FF7-8FD5-ABE662E7A526}"/>
              </a:ext>
            </a:extLst>
          </xdr:cNvPr>
          <xdr:cNvSpPr/>
        </xdr:nvSpPr>
        <xdr:spPr>
          <a:xfrm>
            <a:off x="3814233" y="829733"/>
            <a:ext cx="371475" cy="4762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70" name="グループ化 469">
            <a:extLst>
              <a:ext uri="{FF2B5EF4-FFF2-40B4-BE49-F238E27FC236}">
                <a16:creationId xmlns:a16="http://schemas.microsoft.com/office/drawing/2014/main" id="{E2607C61-3300-4FAB-A7C6-336F038EFC51}"/>
              </a:ext>
            </a:extLst>
          </xdr:cNvPr>
          <xdr:cNvGrpSpPr/>
        </xdr:nvGrpSpPr>
        <xdr:grpSpPr>
          <a:xfrm>
            <a:off x="3684136" y="766322"/>
            <a:ext cx="694806" cy="712049"/>
            <a:chOff x="3686615" y="3431461"/>
            <a:chExt cx="693456" cy="723391"/>
          </a:xfrm>
        </xdr:grpSpPr>
        <xdr:pic>
          <xdr:nvPicPr>
            <xdr:cNvPr id="471" name="図 470">
              <a:extLst>
                <a:ext uri="{FF2B5EF4-FFF2-40B4-BE49-F238E27FC236}">
                  <a16:creationId xmlns:a16="http://schemas.microsoft.com/office/drawing/2014/main" id="{2B341AD5-121A-42DB-92EF-D7F3567BB01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833" r="20608" b="25032"/>
            <a:stretch/>
          </xdr:blipFill>
          <xdr:spPr>
            <a:xfrm>
              <a:off x="3739115" y="3431461"/>
              <a:ext cx="508371" cy="555749"/>
            </a:xfrm>
            <a:prstGeom prst="rect">
              <a:avLst/>
            </a:prstGeom>
          </xdr:spPr>
        </xdr:pic>
        <xdr:pic>
          <xdr:nvPicPr>
            <xdr:cNvPr id="472" name="図 471">
              <a:extLst>
                <a:ext uri="{FF2B5EF4-FFF2-40B4-BE49-F238E27FC236}">
                  <a16:creationId xmlns:a16="http://schemas.microsoft.com/office/drawing/2014/main" id="{130AD975-3C47-4CD9-BD80-F0D1427D963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833" t="74580" r="5534" b="8240"/>
            <a:stretch/>
          </xdr:blipFill>
          <xdr:spPr>
            <a:xfrm>
              <a:off x="3686615" y="4015222"/>
              <a:ext cx="693456" cy="13963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28892</xdr:colOff>
      <xdr:row>6</xdr:row>
      <xdr:rowOff>38568</xdr:rowOff>
    </xdr:from>
    <xdr:to>
      <xdr:col>20</xdr:col>
      <xdr:colOff>122838</xdr:colOff>
      <xdr:row>10</xdr:row>
      <xdr:rowOff>7145</xdr:rowOff>
    </xdr:to>
    <xdr:grpSp>
      <xdr:nvGrpSpPr>
        <xdr:cNvPr id="473" name="グループ化 472">
          <a:extLst>
            <a:ext uri="{FF2B5EF4-FFF2-40B4-BE49-F238E27FC236}">
              <a16:creationId xmlns:a16="http://schemas.microsoft.com/office/drawing/2014/main" id="{22C14A23-A33A-4593-B50D-86A0037E1C7F}"/>
            </a:ext>
          </a:extLst>
        </xdr:cNvPr>
        <xdr:cNvGrpSpPr/>
      </xdr:nvGrpSpPr>
      <xdr:grpSpPr>
        <a:xfrm>
          <a:off x="3076892" y="1305393"/>
          <a:ext cx="855946" cy="692477"/>
          <a:chOff x="2305367" y="780459"/>
          <a:chExt cx="855946" cy="692477"/>
        </a:xfrm>
      </xdr:grpSpPr>
      <xdr:sp macro="" textlink="">
        <xdr:nvSpPr>
          <xdr:cNvPr id="474" name="正方形/長方形 473">
            <a:extLst>
              <a:ext uri="{FF2B5EF4-FFF2-40B4-BE49-F238E27FC236}">
                <a16:creationId xmlns:a16="http://schemas.microsoft.com/office/drawing/2014/main" id="{ED1B23D3-4E01-4401-A3B5-04B0693FD4F3}"/>
              </a:ext>
            </a:extLst>
          </xdr:cNvPr>
          <xdr:cNvSpPr/>
        </xdr:nvSpPr>
        <xdr:spPr>
          <a:xfrm>
            <a:off x="2548466" y="833966"/>
            <a:ext cx="371475" cy="4762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75" name="グループ化 474">
            <a:extLst>
              <a:ext uri="{FF2B5EF4-FFF2-40B4-BE49-F238E27FC236}">
                <a16:creationId xmlns:a16="http://schemas.microsoft.com/office/drawing/2014/main" id="{19245439-C7C6-4B46-8288-9E16CD9A93AB}"/>
              </a:ext>
            </a:extLst>
          </xdr:cNvPr>
          <xdr:cNvGrpSpPr/>
        </xdr:nvGrpSpPr>
        <xdr:grpSpPr>
          <a:xfrm>
            <a:off x="2305367" y="780459"/>
            <a:ext cx="855946" cy="692477"/>
            <a:chOff x="950418" y="171672"/>
            <a:chExt cx="854596" cy="703989"/>
          </a:xfrm>
        </xdr:grpSpPr>
        <xdr:pic>
          <xdr:nvPicPr>
            <xdr:cNvPr id="476" name="図 475">
              <a:extLst>
                <a:ext uri="{FF2B5EF4-FFF2-40B4-BE49-F238E27FC236}">
                  <a16:creationId xmlns:a16="http://schemas.microsoft.com/office/drawing/2014/main" id="{FDE51E7F-AB35-4346-8D39-74E94E4E770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8210" t="78253" r="7952" b="7492"/>
            <a:stretch/>
          </xdr:blipFill>
          <xdr:spPr>
            <a:xfrm>
              <a:off x="950418" y="742058"/>
              <a:ext cx="854596" cy="133603"/>
            </a:xfrm>
            <a:prstGeom prst="rect">
              <a:avLst/>
            </a:prstGeom>
          </xdr:spPr>
        </xdr:pic>
        <xdr:pic>
          <xdr:nvPicPr>
            <xdr:cNvPr id="477" name="図 476">
              <a:extLst>
                <a:ext uri="{FF2B5EF4-FFF2-40B4-BE49-F238E27FC236}">
                  <a16:creationId xmlns:a16="http://schemas.microsoft.com/office/drawing/2014/main" id="{F96C2648-AD10-4CA3-8785-632DF6346A9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833" r="20608" b="25032"/>
            <a:stretch/>
          </xdr:blipFill>
          <xdr:spPr>
            <a:xfrm>
              <a:off x="1129706" y="171672"/>
              <a:ext cx="508371" cy="55574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29</xdr:col>
      <xdr:colOff>180567</xdr:colOff>
      <xdr:row>6</xdr:row>
      <xdr:rowOff>14321</xdr:rowOff>
    </xdr:from>
    <xdr:to>
      <xdr:col>34</xdr:col>
      <xdr:colOff>134856</xdr:colOff>
      <xdr:row>9</xdr:row>
      <xdr:rowOff>158593</xdr:rowOff>
    </xdr:to>
    <xdr:grpSp>
      <xdr:nvGrpSpPr>
        <xdr:cNvPr id="478" name="グループ化 477">
          <a:extLst>
            <a:ext uri="{FF2B5EF4-FFF2-40B4-BE49-F238E27FC236}">
              <a16:creationId xmlns:a16="http://schemas.microsoft.com/office/drawing/2014/main" id="{EEAA389A-8497-45EA-8A65-C56CD6CEA5A3}"/>
            </a:ext>
          </a:extLst>
        </xdr:cNvPr>
        <xdr:cNvGrpSpPr/>
      </xdr:nvGrpSpPr>
      <xdr:grpSpPr>
        <a:xfrm>
          <a:off x="5705067" y="1281146"/>
          <a:ext cx="906789" cy="687197"/>
          <a:chOff x="4933543" y="756212"/>
          <a:chExt cx="906788" cy="687197"/>
        </a:xfrm>
      </xdr:grpSpPr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8D80D982-1970-40DE-BFDD-DC6125ECE267}"/>
              </a:ext>
            </a:extLst>
          </xdr:cNvPr>
          <xdr:cNvSpPr/>
        </xdr:nvSpPr>
        <xdr:spPr>
          <a:xfrm>
            <a:off x="5164667" y="825500"/>
            <a:ext cx="371475" cy="4762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80" name="グループ化 479">
            <a:extLst>
              <a:ext uri="{FF2B5EF4-FFF2-40B4-BE49-F238E27FC236}">
                <a16:creationId xmlns:a16="http://schemas.microsoft.com/office/drawing/2014/main" id="{7F4F51DB-84B8-431A-A17E-ECCEC62BED4C}"/>
              </a:ext>
            </a:extLst>
          </xdr:cNvPr>
          <xdr:cNvGrpSpPr/>
        </xdr:nvGrpSpPr>
        <xdr:grpSpPr>
          <a:xfrm>
            <a:off x="4933543" y="756212"/>
            <a:ext cx="906788" cy="687197"/>
            <a:chOff x="964564" y="268807"/>
            <a:chExt cx="907574" cy="688357"/>
          </a:xfrm>
        </xdr:grpSpPr>
        <xdr:pic>
          <xdr:nvPicPr>
            <xdr:cNvPr id="481" name="図 480">
              <a:extLst>
                <a:ext uri="{FF2B5EF4-FFF2-40B4-BE49-F238E27FC236}">
                  <a16:creationId xmlns:a16="http://schemas.microsoft.com/office/drawing/2014/main" id="{3BAD4220-FB1C-4673-B324-6AC8C3D57C0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7587" t="74868" r="10333" b="11514"/>
            <a:stretch/>
          </xdr:blipFill>
          <xdr:spPr>
            <a:xfrm>
              <a:off x="964564" y="845958"/>
              <a:ext cx="907574" cy="111206"/>
            </a:xfrm>
            <a:prstGeom prst="rect">
              <a:avLst/>
            </a:prstGeom>
          </xdr:spPr>
        </xdr:pic>
        <xdr:pic>
          <xdr:nvPicPr>
            <xdr:cNvPr id="482" name="図 481">
              <a:extLst>
                <a:ext uri="{FF2B5EF4-FFF2-40B4-BE49-F238E27FC236}">
                  <a16:creationId xmlns:a16="http://schemas.microsoft.com/office/drawing/2014/main" id="{8C21461C-84B9-4C2B-8EB4-239619F87DC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833" r="20608" b="25032"/>
            <a:stretch/>
          </xdr:blipFill>
          <xdr:spPr>
            <a:xfrm>
              <a:off x="1126118" y="268807"/>
              <a:ext cx="510317" cy="54811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25</xdr:col>
      <xdr:colOff>39506</xdr:colOff>
      <xdr:row>10</xdr:row>
      <xdr:rowOff>12580</xdr:rowOff>
    </xdr:from>
    <xdr:to>
      <xdr:col>25</xdr:col>
      <xdr:colOff>44450</xdr:colOff>
      <xdr:row>12</xdr:row>
      <xdr:rowOff>73026</xdr:rowOff>
    </xdr:to>
    <xdr:cxnSp macro="">
      <xdr:nvCxnSpPr>
        <xdr:cNvPr id="483" name="直線矢印コネクタ 482">
          <a:extLst>
            <a:ext uri="{FF2B5EF4-FFF2-40B4-BE49-F238E27FC236}">
              <a16:creationId xmlns:a16="http://schemas.microsoft.com/office/drawing/2014/main" id="{8EDAD870-DE28-4CFC-9A88-4D65CA338C8F}"/>
            </a:ext>
          </a:extLst>
        </xdr:cNvPr>
        <xdr:cNvCxnSpPr>
          <a:stCxn id="472" idx="2"/>
          <a:endCxn id="431" idx="0"/>
        </xdr:cNvCxnSpPr>
      </xdr:nvCxnSpPr>
      <xdr:spPr>
        <a:xfrm>
          <a:off x="4802006" y="2250955"/>
          <a:ext cx="4944" cy="422396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74083</xdr:colOff>
      <xdr:row>10</xdr:row>
      <xdr:rowOff>7145</xdr:rowOff>
    </xdr:from>
    <xdr:to>
      <xdr:col>18</xdr:col>
      <xdr:colOff>74806</xdr:colOff>
      <xdr:row>12</xdr:row>
      <xdr:rowOff>66675</xdr:rowOff>
    </xdr:to>
    <xdr:cxnSp macro="">
      <xdr:nvCxnSpPr>
        <xdr:cNvPr id="484" name="直線矢印コネクタ 483">
          <a:extLst>
            <a:ext uri="{FF2B5EF4-FFF2-40B4-BE49-F238E27FC236}">
              <a16:creationId xmlns:a16="http://schemas.microsoft.com/office/drawing/2014/main" id="{3845076F-9396-4E68-8D29-C36C87DB9F0E}"/>
            </a:ext>
          </a:extLst>
        </xdr:cNvPr>
        <xdr:cNvCxnSpPr>
          <a:stCxn id="476" idx="2"/>
          <a:endCxn id="432" idx="0"/>
        </xdr:cNvCxnSpPr>
      </xdr:nvCxnSpPr>
      <xdr:spPr>
        <a:xfrm flipH="1">
          <a:off x="3503083" y="2245520"/>
          <a:ext cx="723" cy="42148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188381</xdr:colOff>
      <xdr:row>24</xdr:row>
      <xdr:rowOff>56092</xdr:rowOff>
    </xdr:from>
    <xdr:to>
      <xdr:col>37</xdr:col>
      <xdr:colOff>168272</xdr:colOff>
      <xdr:row>28</xdr:row>
      <xdr:rowOff>93134</xdr:rowOff>
    </xdr:to>
    <xdr:grpSp>
      <xdr:nvGrpSpPr>
        <xdr:cNvPr id="485" name="グループ化 484">
          <a:extLst>
            <a:ext uri="{FF2B5EF4-FFF2-40B4-BE49-F238E27FC236}">
              <a16:creationId xmlns:a16="http://schemas.microsoft.com/office/drawing/2014/main" id="{0D630C02-D41F-4170-A783-897F7EFDA9F4}"/>
            </a:ext>
          </a:extLst>
        </xdr:cNvPr>
        <xdr:cNvGrpSpPr/>
      </xdr:nvGrpSpPr>
      <xdr:grpSpPr>
        <a:xfrm>
          <a:off x="6093881" y="4580467"/>
          <a:ext cx="1122891" cy="760942"/>
          <a:chOff x="3386753" y="4138083"/>
          <a:chExt cx="1285874" cy="762000"/>
        </a:xfrm>
      </xdr:grpSpPr>
      <xdr:pic>
        <xdr:nvPicPr>
          <xdr:cNvPr id="486" name="図 485">
            <a:extLst>
              <a:ext uri="{FF2B5EF4-FFF2-40B4-BE49-F238E27FC236}">
                <a16:creationId xmlns:a16="http://schemas.microsoft.com/office/drawing/2014/main" id="{343DB1EF-4D53-4666-94FD-168B5CDB73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19937" y="4138083"/>
            <a:ext cx="585143" cy="585143"/>
          </a:xfrm>
          <a:prstGeom prst="rect">
            <a:avLst/>
          </a:prstGeom>
        </xdr:spPr>
      </xdr:pic>
      <xdr:sp macro="" textlink="">
        <xdr:nvSpPr>
          <xdr:cNvPr id="487" name="テキスト ボックス 486">
            <a:extLst>
              <a:ext uri="{FF2B5EF4-FFF2-40B4-BE49-F238E27FC236}">
                <a16:creationId xmlns:a16="http://schemas.microsoft.com/office/drawing/2014/main" id="{C5567634-6135-4644-8FC8-5750E038DB57}"/>
              </a:ext>
            </a:extLst>
          </xdr:cNvPr>
          <xdr:cNvSpPr txBox="1"/>
        </xdr:nvSpPr>
        <xdr:spPr>
          <a:xfrm>
            <a:off x="3386753" y="4662147"/>
            <a:ext cx="1285874" cy="237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900" b="1">
                <a:latin typeface="Meiryo UI" panose="020B0604030504040204" pitchFamily="50" charset="-128"/>
                <a:ea typeface="Meiryo UI" panose="020B0604030504040204" pitchFamily="50" charset="-128"/>
              </a:rPr>
              <a:t>モニタリングデータ</a:t>
            </a:r>
          </a:p>
        </xdr:txBody>
      </xdr:sp>
    </xdr:grpSp>
    <xdr:clientData/>
  </xdr:twoCellAnchor>
  <xdr:twoCellAnchor>
    <xdr:from>
      <xdr:col>25</xdr:col>
      <xdr:colOff>41282</xdr:colOff>
      <xdr:row>21</xdr:row>
      <xdr:rowOff>5475</xdr:rowOff>
    </xdr:from>
    <xdr:to>
      <xdr:col>33</xdr:col>
      <xdr:colOff>98335</xdr:colOff>
      <xdr:row>25</xdr:row>
      <xdr:rowOff>167283</xdr:rowOff>
    </xdr:to>
    <xdr:cxnSp macro="">
      <xdr:nvCxnSpPr>
        <xdr:cNvPr id="488" name="カギ線コネクタ 392">
          <a:extLst>
            <a:ext uri="{FF2B5EF4-FFF2-40B4-BE49-F238E27FC236}">
              <a16:creationId xmlns:a16="http://schemas.microsoft.com/office/drawing/2014/main" id="{1B4CDA36-DB94-4BE3-9502-FCFE086F14DD}"/>
            </a:ext>
          </a:extLst>
        </xdr:cNvPr>
        <xdr:cNvCxnSpPr>
          <a:stCxn id="486" idx="1"/>
          <a:endCxn id="428" idx="2"/>
        </xdr:cNvCxnSpPr>
      </xdr:nvCxnSpPr>
      <xdr:spPr>
        <a:xfrm rot="10800000">
          <a:off x="4803782" y="4234575"/>
          <a:ext cx="1581053" cy="88570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37811</xdr:colOff>
      <xdr:row>21</xdr:row>
      <xdr:rowOff>131231</xdr:rowOff>
    </xdr:from>
    <xdr:to>
      <xdr:col>44</xdr:col>
      <xdr:colOff>92083</xdr:colOff>
      <xdr:row>25</xdr:row>
      <xdr:rowOff>167283</xdr:rowOff>
    </xdr:to>
    <xdr:cxnSp macro="">
      <xdr:nvCxnSpPr>
        <xdr:cNvPr id="489" name="カギ線コネクタ 393">
          <a:extLst>
            <a:ext uri="{FF2B5EF4-FFF2-40B4-BE49-F238E27FC236}">
              <a16:creationId xmlns:a16="http://schemas.microsoft.com/office/drawing/2014/main" id="{37AAF73D-F2C5-4964-AC0A-1A2AE009E859}"/>
            </a:ext>
          </a:extLst>
        </xdr:cNvPr>
        <xdr:cNvCxnSpPr>
          <a:stCxn id="486" idx="3"/>
          <a:endCxn id="430" idx="2"/>
        </xdr:cNvCxnSpPr>
      </xdr:nvCxnSpPr>
      <xdr:spPr>
        <a:xfrm flipV="1">
          <a:off x="6895811" y="4360331"/>
          <a:ext cx="1578272" cy="7599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41274</xdr:colOff>
      <xdr:row>20</xdr:row>
      <xdr:rowOff>164043</xdr:rowOff>
    </xdr:from>
    <xdr:to>
      <xdr:col>12</xdr:col>
      <xdr:colOff>147108</xdr:colOff>
      <xdr:row>26</xdr:row>
      <xdr:rowOff>13760</xdr:rowOff>
    </xdr:to>
    <xdr:grpSp>
      <xdr:nvGrpSpPr>
        <xdr:cNvPr id="490" name="グループ化 489">
          <a:extLst>
            <a:ext uri="{FF2B5EF4-FFF2-40B4-BE49-F238E27FC236}">
              <a16:creationId xmlns:a16="http://schemas.microsoft.com/office/drawing/2014/main" id="{741F26F6-C4DA-4FC0-80B9-8B5B4C20E7AD}"/>
            </a:ext>
          </a:extLst>
        </xdr:cNvPr>
        <xdr:cNvGrpSpPr/>
      </xdr:nvGrpSpPr>
      <xdr:grpSpPr>
        <a:xfrm>
          <a:off x="422274" y="3964518"/>
          <a:ext cx="2010834" cy="935567"/>
          <a:chOff x="448567" y="2857500"/>
          <a:chExt cx="1521732" cy="941044"/>
        </a:xfrm>
      </xdr:grpSpPr>
      <xdr:sp macro="" textlink="">
        <xdr:nvSpPr>
          <xdr:cNvPr id="491" name="正方形/長方形 490">
            <a:extLst>
              <a:ext uri="{FF2B5EF4-FFF2-40B4-BE49-F238E27FC236}">
                <a16:creationId xmlns:a16="http://schemas.microsoft.com/office/drawing/2014/main" id="{046D9989-1AA9-4362-B696-E212EF7BB5C8}"/>
              </a:ext>
            </a:extLst>
          </xdr:cNvPr>
          <xdr:cNvSpPr/>
        </xdr:nvSpPr>
        <xdr:spPr>
          <a:xfrm>
            <a:off x="920750" y="2857500"/>
            <a:ext cx="468841" cy="57361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92" name="グループ化 491">
            <a:extLst>
              <a:ext uri="{FF2B5EF4-FFF2-40B4-BE49-F238E27FC236}">
                <a16:creationId xmlns:a16="http://schemas.microsoft.com/office/drawing/2014/main" id="{945A40C0-11FE-485E-87D5-89C94DFBB05E}"/>
              </a:ext>
            </a:extLst>
          </xdr:cNvPr>
          <xdr:cNvGrpSpPr/>
        </xdr:nvGrpSpPr>
        <xdr:grpSpPr>
          <a:xfrm>
            <a:off x="448567" y="2868021"/>
            <a:ext cx="1521732" cy="930523"/>
            <a:chOff x="1062400" y="2328272"/>
            <a:chExt cx="1521732" cy="930523"/>
          </a:xfrm>
        </xdr:grpSpPr>
        <xdr:pic>
          <xdr:nvPicPr>
            <xdr:cNvPr id="493" name="図 492">
              <a:extLst>
                <a:ext uri="{FF2B5EF4-FFF2-40B4-BE49-F238E27FC236}">
                  <a16:creationId xmlns:a16="http://schemas.microsoft.com/office/drawing/2014/main" id="{9BA857C0-76DC-4956-86DE-C943E5C11CD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 l="17492" b="27322"/>
            <a:stretch/>
          </xdr:blipFill>
          <xdr:spPr>
            <a:xfrm>
              <a:off x="1507927" y="2328272"/>
              <a:ext cx="587648" cy="663575"/>
            </a:xfrm>
            <a:prstGeom prst="rect">
              <a:avLst/>
            </a:prstGeom>
          </xdr:spPr>
        </xdr:pic>
        <xdr:sp macro="" textlink="">
          <xdr:nvSpPr>
            <xdr:cNvPr id="494" name="テキスト ボックス 493">
              <a:extLst>
                <a:ext uri="{FF2B5EF4-FFF2-40B4-BE49-F238E27FC236}">
                  <a16:creationId xmlns:a16="http://schemas.microsoft.com/office/drawing/2014/main" id="{4CE59175-FE87-404A-8332-7702FF9381DC}"/>
                </a:ext>
              </a:extLst>
            </xdr:cNvPr>
            <xdr:cNvSpPr txBox="1"/>
          </xdr:nvSpPr>
          <xdr:spPr>
            <a:xfrm>
              <a:off x="1062400" y="2983628"/>
              <a:ext cx="1521732" cy="2751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 b="0">
                  <a:latin typeface="Meiryo UI" panose="020B0604030504040204" pitchFamily="50" charset="-128"/>
                  <a:ea typeface="Meiryo UI" panose="020B0604030504040204" pitchFamily="50" charset="-128"/>
                </a:rPr>
                <a:t>RINDBG.</a:t>
              </a:r>
              <a:r>
                <a:rPr kumimoji="1" lang="ja-JP" altLang="en-US" sz="900" b="0">
                  <a:latin typeface="Meiryo UI" panose="020B0604030504040204" pitchFamily="50" charset="-128"/>
                  <a:ea typeface="Meiryo UI" panose="020B0604030504040204" pitchFamily="50" charset="-128"/>
                </a:rPr>
                <a:t>ＨＲ受注＿統合受注企画</a:t>
              </a:r>
            </a:p>
          </xdr:txBody>
        </xdr:sp>
      </xdr:grpSp>
    </xdr:grpSp>
    <xdr:clientData/>
  </xdr:twoCellAnchor>
  <xdr:twoCellAnchor>
    <xdr:from>
      <xdr:col>9</xdr:col>
      <xdr:colOff>41273</xdr:colOff>
      <xdr:row>16</xdr:row>
      <xdr:rowOff>30164</xdr:rowOff>
    </xdr:from>
    <xdr:to>
      <xdr:col>14</xdr:col>
      <xdr:colOff>51860</xdr:colOff>
      <xdr:row>19</xdr:row>
      <xdr:rowOff>170485</xdr:rowOff>
    </xdr:to>
    <xdr:cxnSp macro="">
      <xdr:nvCxnSpPr>
        <xdr:cNvPr id="495" name="カギ線コネクタ 422">
          <a:extLst>
            <a:ext uri="{FF2B5EF4-FFF2-40B4-BE49-F238E27FC236}">
              <a16:creationId xmlns:a16="http://schemas.microsoft.com/office/drawing/2014/main" id="{7462F265-DADA-48C8-9EAC-F5DCD08F903A}"/>
            </a:ext>
          </a:extLst>
        </xdr:cNvPr>
        <xdr:cNvCxnSpPr>
          <a:stCxn id="448" idx="3"/>
          <a:endCxn id="427" idx="1"/>
        </xdr:cNvCxnSpPr>
      </xdr:nvCxnSpPr>
      <xdr:spPr>
        <a:xfrm>
          <a:off x="1755773" y="3354389"/>
          <a:ext cx="963087" cy="683246"/>
        </a:xfrm>
        <a:prstGeom prst="bentConnector3">
          <a:avLst>
            <a:gd name="adj1" fmla="val 63187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73023</xdr:colOff>
      <xdr:row>19</xdr:row>
      <xdr:rowOff>170485</xdr:rowOff>
    </xdr:from>
    <xdr:to>
      <xdr:col>14</xdr:col>
      <xdr:colOff>51860</xdr:colOff>
      <xdr:row>22</xdr:row>
      <xdr:rowOff>142410</xdr:rowOff>
    </xdr:to>
    <xdr:cxnSp macro="">
      <xdr:nvCxnSpPr>
        <xdr:cNvPr id="496" name="カギ線コネクタ 423">
          <a:extLst>
            <a:ext uri="{FF2B5EF4-FFF2-40B4-BE49-F238E27FC236}">
              <a16:creationId xmlns:a16="http://schemas.microsoft.com/office/drawing/2014/main" id="{1951ED78-9C17-4AE2-B00B-9FAF48ADB98E}"/>
            </a:ext>
          </a:extLst>
        </xdr:cNvPr>
        <xdr:cNvCxnSpPr>
          <a:stCxn id="493" idx="3"/>
          <a:endCxn id="427" idx="1"/>
        </xdr:cNvCxnSpPr>
      </xdr:nvCxnSpPr>
      <xdr:spPr>
        <a:xfrm flipV="1">
          <a:off x="1787523" y="4037635"/>
          <a:ext cx="931337" cy="514850"/>
        </a:xfrm>
        <a:prstGeom prst="bentConnector3">
          <a:avLst>
            <a:gd name="adj1" fmla="val 6136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1</xdr:row>
      <xdr:rowOff>133350</xdr:rowOff>
    </xdr:from>
    <xdr:to>
      <xdr:col>60</xdr:col>
      <xdr:colOff>85725</xdr:colOff>
      <xdr:row>53</xdr:row>
      <xdr:rowOff>123825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14C490C8-DE02-4E93-B4BD-12480B83132F}"/>
            </a:ext>
          </a:extLst>
        </xdr:cNvPr>
        <xdr:cNvSpPr/>
      </xdr:nvSpPr>
      <xdr:spPr bwMode="auto">
        <a:xfrm>
          <a:off x="3648075" y="495300"/>
          <a:ext cx="7867650" cy="9896475"/>
        </a:xfrm>
        <a:prstGeom prst="roundRect">
          <a:avLst>
            <a:gd name="adj" fmla="val 3451"/>
          </a:avLst>
        </a:prstGeom>
        <a:solidFill>
          <a:schemeClr val="accent2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【</a:t>
          </a:r>
          <a:r>
            <a:rPr kumimoji="1" lang="ja-JP" altLang="en-US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開発用</a:t>
          </a: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】</a:t>
          </a:r>
          <a:r>
            <a:rPr kumimoji="1" lang="ja-JP" altLang="en-US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パートナー関連処理支援 </a:t>
          </a: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DEV</a:t>
          </a:r>
          <a:endParaRPr lang="ja-JP" altLang="ja-JP" b="0">
            <a:solidFill>
              <a:schemeClr val="accent6">
                <a:lumMod val="50000"/>
              </a:schemeClr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171451</xdr:colOff>
      <xdr:row>1</xdr:row>
      <xdr:rowOff>152400</xdr:rowOff>
    </xdr:from>
    <xdr:to>
      <xdr:col>18</xdr:col>
      <xdr:colOff>38101</xdr:colOff>
      <xdr:row>53</xdr:row>
      <xdr:rowOff>104775</xdr:rowOff>
    </xdr:to>
    <xdr:sp macro="" textlink="">
      <xdr:nvSpPr>
        <xdr:cNvPr id="167" name="四角形: 角を丸くする 166">
          <a:extLst>
            <a:ext uri="{FF2B5EF4-FFF2-40B4-BE49-F238E27FC236}">
              <a16:creationId xmlns:a16="http://schemas.microsoft.com/office/drawing/2014/main" id="{BF4198EE-6198-4754-9C16-B8F35530BB6E}"/>
            </a:ext>
          </a:extLst>
        </xdr:cNvPr>
        <xdr:cNvSpPr/>
      </xdr:nvSpPr>
      <xdr:spPr bwMode="auto">
        <a:xfrm>
          <a:off x="171451" y="514350"/>
          <a:ext cx="3295650" cy="9858375"/>
        </a:xfrm>
        <a:prstGeom prst="roundRect">
          <a:avLst>
            <a:gd name="adj" fmla="val 6015"/>
          </a:avLst>
        </a:prstGeom>
        <a:solidFill>
          <a:schemeClr val="accent6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ｐｏｐｕｌａ</a:t>
          </a:r>
          <a:r>
            <a:rPr kumimoji="1" lang="en-US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【</a:t>
          </a:r>
          <a:r>
            <a:rPr kumimoji="1" lang="ja-JP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テスト環境</a:t>
          </a:r>
          <a:r>
            <a:rPr kumimoji="1" lang="en-US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】</a:t>
          </a:r>
          <a:r>
            <a:rPr kumimoji="1" lang="ja-JP" altLang="en-US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スペース</a:t>
          </a:r>
          <a:endParaRPr lang="ja-JP" altLang="ja-JP" b="0">
            <a:solidFill>
              <a:schemeClr val="accent3">
                <a:lumMod val="50000"/>
              </a:schemeClr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20</xdr:col>
      <xdr:colOff>114300</xdr:colOff>
      <xdr:row>8</xdr:row>
      <xdr:rowOff>85725</xdr:rowOff>
    </xdr:from>
    <xdr:to>
      <xdr:col>32</xdr:col>
      <xdr:colOff>28575</xdr:colOff>
      <xdr:row>28</xdr:row>
      <xdr:rowOff>73025</xdr:rowOff>
    </xdr:to>
    <xdr:grpSp>
      <xdr:nvGrpSpPr>
        <xdr:cNvPr id="2" name="T_試験対象 DEV">
          <a:extLst>
            <a:ext uri="{FF2B5EF4-FFF2-40B4-BE49-F238E27FC236}">
              <a16:creationId xmlns:a16="http://schemas.microsoft.com/office/drawing/2014/main" id="{2E985471-F0F0-4985-A9A3-B3D60EA2910A}"/>
            </a:ext>
          </a:extLst>
        </xdr:cNvPr>
        <xdr:cNvGrpSpPr/>
      </xdr:nvGrpSpPr>
      <xdr:grpSpPr>
        <a:xfrm>
          <a:off x="3924300" y="1781175"/>
          <a:ext cx="2200275" cy="3797300"/>
          <a:chOff x="1016000" y="1016000"/>
          <a:chExt cx="3086100" cy="3797300"/>
        </a:xfrm>
      </xdr:grpSpPr>
      <xdr:sp macro="" textlink="">
        <xdr:nvSpPr>
          <xdr:cNvPr id="3" name="F_試験対象 DEV">
            <a:extLst>
              <a:ext uri="{FF2B5EF4-FFF2-40B4-BE49-F238E27FC236}">
                <a16:creationId xmlns:a16="http://schemas.microsoft.com/office/drawing/2014/main" id="{5ED2434B-55F1-49CB-B346-917018C658D3}"/>
              </a:ext>
            </a:extLst>
          </xdr:cNvPr>
          <xdr:cNvSpPr/>
        </xdr:nvSpPr>
        <xdr:spPr>
          <a:xfrm>
            <a:off x="1042719" y="1295400"/>
            <a:ext cx="2992582" cy="35179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" name="L_試験対象 DEV">
            <a:extLst>
              <a:ext uri="{FF2B5EF4-FFF2-40B4-BE49-F238E27FC236}">
                <a16:creationId xmlns:a16="http://schemas.microsoft.com/office/drawing/2014/main" id="{BC2BCAFB-0C00-4DE0-89E8-2A75035973FC}"/>
              </a:ext>
            </a:extLst>
          </xdr:cNvPr>
          <xdr:cNvSpPr txBox="1"/>
        </xdr:nvSpPr>
        <xdr:spPr>
          <a:xfrm>
            <a:off x="1016000" y="1016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試験対象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C_試験対象 DEV_0">
            <a:extLst>
              <a:ext uri="{FF2B5EF4-FFF2-40B4-BE49-F238E27FC236}">
                <a16:creationId xmlns:a16="http://schemas.microsoft.com/office/drawing/2014/main" id="{04E19A56-AF2D-47A6-9819-2ADA845C1FFC}"/>
              </a:ext>
            </a:extLst>
          </xdr:cNvPr>
          <xdr:cNvSpPr txBox="1"/>
        </xdr:nvSpPr>
        <xdr:spPr>
          <a:xfrm>
            <a:off x="1079500" y="1358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C(FK)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6" name="C_試験対象 DEV_1">
            <a:extLst>
              <a:ext uri="{FF2B5EF4-FFF2-40B4-BE49-F238E27FC236}">
                <a16:creationId xmlns:a16="http://schemas.microsoft.com/office/drawing/2014/main" id="{E72A4033-E019-46C4-A23E-D824FAC76977}"/>
              </a:ext>
            </a:extLst>
          </xdr:cNvPr>
          <xdr:cNvSpPr txBox="1"/>
        </xdr:nvSpPr>
        <xdr:spPr>
          <a:xfrm>
            <a:off x="1079500" y="1574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テスト名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7" name="C_試験対象 DEV_2">
            <a:extLst>
              <a:ext uri="{FF2B5EF4-FFF2-40B4-BE49-F238E27FC236}">
                <a16:creationId xmlns:a16="http://schemas.microsoft.com/office/drawing/2014/main" id="{7E49E4A7-698C-446B-A9C1-DD8A71DBB547}"/>
              </a:ext>
            </a:extLst>
          </xdr:cNvPr>
          <xdr:cNvSpPr txBox="1"/>
        </xdr:nvSpPr>
        <xdr:spPr>
          <a:xfrm>
            <a:off x="1079500" y="1790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8" name="C_試験対象 DEV_3">
            <a:extLst>
              <a:ext uri="{FF2B5EF4-FFF2-40B4-BE49-F238E27FC236}">
                <a16:creationId xmlns:a16="http://schemas.microsoft.com/office/drawing/2014/main" id="{28514C4F-CD0F-4F2B-8BA9-23B1EAD0D94E}"/>
              </a:ext>
            </a:extLst>
          </xdr:cNvPr>
          <xdr:cNvSpPr txBox="1"/>
        </xdr:nvSpPr>
        <xdr:spPr>
          <a:xfrm>
            <a:off x="1079500" y="2006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確定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)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関連レコード一覧</a:t>
            </a:r>
          </a:p>
        </xdr:txBody>
      </xdr:sp>
      <xdr:sp macro="" textlink="">
        <xdr:nvSpPr>
          <xdr:cNvPr id="9" name="C_試験対象 DEV_4">
            <a:extLst>
              <a:ext uri="{FF2B5EF4-FFF2-40B4-BE49-F238E27FC236}">
                <a16:creationId xmlns:a16="http://schemas.microsoft.com/office/drawing/2014/main" id="{95709EAD-7884-4ED7-9B86-CDC0F248ACC0}"/>
              </a:ext>
            </a:extLst>
          </xdr:cNvPr>
          <xdr:cNvSpPr txBox="1"/>
        </xdr:nvSpPr>
        <xdr:spPr>
          <a:xfrm>
            <a:off x="1079500" y="2222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" name="C_試験対象 DEV_5">
            <a:extLst>
              <a:ext uri="{FF2B5EF4-FFF2-40B4-BE49-F238E27FC236}">
                <a16:creationId xmlns:a16="http://schemas.microsoft.com/office/drawing/2014/main" id="{4DA5C372-242B-4620-8D1A-0A25260CD35B}"/>
              </a:ext>
            </a:extLst>
          </xdr:cNvPr>
          <xdr:cNvSpPr txBox="1"/>
        </xdr:nvSpPr>
        <xdr:spPr>
          <a:xfrm>
            <a:off x="1079500" y="2438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" name="C_試験対象 DEV_6">
            <a:extLst>
              <a:ext uri="{FF2B5EF4-FFF2-40B4-BE49-F238E27FC236}">
                <a16:creationId xmlns:a16="http://schemas.microsoft.com/office/drawing/2014/main" id="{C6FB5758-2D80-47A0-BD6F-B42C8E82F063}"/>
              </a:ext>
            </a:extLst>
          </xdr:cNvPr>
          <xdr:cNvSpPr txBox="1"/>
        </xdr:nvSpPr>
        <xdr:spPr>
          <a:xfrm>
            <a:off x="1079500" y="26543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配信日付        日付</a:t>
            </a:r>
          </a:p>
        </xdr:txBody>
      </xdr:sp>
      <xdr:sp macro="" textlink="">
        <xdr:nvSpPr>
          <xdr:cNvPr id="12" name="C_試験対象 DEV_7">
            <a:extLst>
              <a:ext uri="{FF2B5EF4-FFF2-40B4-BE49-F238E27FC236}">
                <a16:creationId xmlns:a16="http://schemas.microsoft.com/office/drawing/2014/main" id="{FFD30C73-3FC9-4F04-BB77-2136316DDC9D}"/>
              </a:ext>
            </a:extLst>
          </xdr:cNvPr>
          <xdr:cNvSpPr txBox="1"/>
        </xdr:nvSpPr>
        <xdr:spPr>
          <a:xfrm>
            <a:off x="1079500" y="28702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G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</a:t>
            </a:r>
          </a:p>
        </xdr:txBody>
      </xdr:sp>
      <xdr:sp macro="" textlink="">
        <xdr:nvSpPr>
          <xdr:cNvPr id="13" name="C_試験対象 DEV_8">
            <a:extLst>
              <a:ext uri="{FF2B5EF4-FFF2-40B4-BE49-F238E27FC236}">
                <a16:creationId xmlns:a16="http://schemas.microsoft.com/office/drawing/2014/main" id="{03E873A9-29F3-4DF4-AB42-58BE03C6A10C}"/>
              </a:ext>
            </a:extLst>
          </xdr:cNvPr>
          <xdr:cNvSpPr txBox="1"/>
        </xdr:nvSpPr>
        <xdr:spPr>
          <a:xfrm>
            <a:off x="1079500" y="30861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組織選択</a:t>
            </a:r>
          </a:p>
        </xdr:txBody>
      </xdr:sp>
      <xdr:sp macro="" textlink="">
        <xdr:nvSpPr>
          <xdr:cNvPr id="14" name="C_試験対象 DEV_9">
            <a:extLst>
              <a:ext uri="{FF2B5EF4-FFF2-40B4-BE49-F238E27FC236}">
                <a16:creationId xmlns:a16="http://schemas.microsoft.com/office/drawing/2014/main" id="{688C7C99-1C8E-4F60-B4A8-C3B615108074}"/>
              </a:ext>
            </a:extLst>
          </xdr:cNvPr>
          <xdr:cNvSpPr txBox="1"/>
        </xdr:nvSpPr>
        <xdr:spPr>
          <a:xfrm>
            <a:off x="1079500" y="3302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" name="C_試験対象 DEV_10">
            <a:extLst>
              <a:ext uri="{FF2B5EF4-FFF2-40B4-BE49-F238E27FC236}">
                <a16:creationId xmlns:a16="http://schemas.microsoft.com/office/drawing/2014/main" id="{C5E09D52-8D3F-4748-B276-9B1B499EF908}"/>
              </a:ext>
            </a:extLst>
          </xdr:cNvPr>
          <xdr:cNvSpPr txBox="1"/>
        </xdr:nvSpPr>
        <xdr:spPr>
          <a:xfrm>
            <a:off x="1079500" y="3517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6" name="C_試験対象 DEV_11">
            <a:extLst>
              <a:ext uri="{FF2B5EF4-FFF2-40B4-BE49-F238E27FC236}">
                <a16:creationId xmlns:a16="http://schemas.microsoft.com/office/drawing/2014/main" id="{70B58E3C-FBDC-49B2-94B7-729D993A6858}"/>
              </a:ext>
            </a:extLst>
          </xdr:cNvPr>
          <xdr:cNvSpPr txBox="1"/>
        </xdr:nvSpPr>
        <xdr:spPr>
          <a:xfrm>
            <a:off x="1079500" y="3733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7" name="C_試験対象 DEV_12">
            <a:extLst>
              <a:ext uri="{FF2B5EF4-FFF2-40B4-BE49-F238E27FC236}">
                <a16:creationId xmlns:a16="http://schemas.microsoft.com/office/drawing/2014/main" id="{AE0BFC04-00CA-41D5-8674-15787C218ACB}"/>
              </a:ext>
            </a:extLst>
          </xdr:cNvPr>
          <xdr:cNvSpPr txBox="1"/>
        </xdr:nvSpPr>
        <xdr:spPr>
          <a:xfrm>
            <a:off x="1079500" y="3949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8" name="C_試験対象 DEV_13">
            <a:extLst>
              <a:ext uri="{FF2B5EF4-FFF2-40B4-BE49-F238E27FC236}">
                <a16:creationId xmlns:a16="http://schemas.microsoft.com/office/drawing/2014/main" id="{DC941A01-99C2-4490-BE02-C156F33A6C63}"/>
              </a:ext>
            </a:extLst>
          </xdr:cNvPr>
          <xdr:cNvSpPr txBox="1"/>
        </xdr:nvSpPr>
        <xdr:spPr>
          <a:xfrm>
            <a:off x="1079500" y="4165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配信キー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9" name="C_試験対象 DEV_14">
            <a:extLst>
              <a:ext uri="{FF2B5EF4-FFF2-40B4-BE49-F238E27FC236}">
                <a16:creationId xmlns:a16="http://schemas.microsoft.com/office/drawing/2014/main" id="{B02502D8-623B-475E-8B6D-CAA13C87F336}"/>
              </a:ext>
            </a:extLst>
          </xdr:cNvPr>
          <xdr:cNvSpPr txBox="1"/>
        </xdr:nvSpPr>
        <xdr:spPr>
          <a:xfrm>
            <a:off x="1079500" y="4381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組合せコード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0" name="C_試験対象 DEV_15">
            <a:extLst>
              <a:ext uri="{FF2B5EF4-FFF2-40B4-BE49-F238E27FC236}">
                <a16:creationId xmlns:a16="http://schemas.microsoft.com/office/drawing/2014/main" id="{39A56B25-0898-48BC-8DB1-2A2D89AEA232}"/>
              </a:ext>
            </a:extLst>
          </xdr:cNvPr>
          <xdr:cNvSpPr txBox="1"/>
        </xdr:nvSpPr>
        <xdr:spPr>
          <a:xfrm>
            <a:off x="1079500" y="4597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21" name="P_試験対象 DEV">
            <a:extLst>
              <a:ext uri="{FF2B5EF4-FFF2-40B4-BE49-F238E27FC236}">
                <a16:creationId xmlns:a16="http://schemas.microsoft.com/office/drawing/2014/main" id="{2D7FEF78-A51F-4D8C-A5A6-6E0565B29E0C}"/>
              </a:ext>
            </a:extLst>
          </xdr:cNvPr>
          <xdr:cNvCxnSpPr/>
        </xdr:nvCxnSpPr>
        <xdr:spPr>
          <a:xfrm>
            <a:off x="1029888" y="1574800"/>
            <a:ext cx="227092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95249</xdr:colOff>
      <xdr:row>14</xdr:row>
      <xdr:rowOff>0</xdr:rowOff>
    </xdr:from>
    <xdr:to>
      <xdr:col>45</xdr:col>
      <xdr:colOff>57150</xdr:colOff>
      <xdr:row>32</xdr:row>
      <xdr:rowOff>152400</xdr:rowOff>
    </xdr:to>
    <xdr:grpSp>
      <xdr:nvGrpSpPr>
        <xdr:cNvPr id="22" name="T_合格済試験 DEV">
          <a:extLst>
            <a:ext uri="{FF2B5EF4-FFF2-40B4-BE49-F238E27FC236}">
              <a16:creationId xmlns:a16="http://schemas.microsoft.com/office/drawing/2014/main" id="{117E8FD3-736E-4AE6-B8ED-2C7FCCF2F7F9}"/>
            </a:ext>
          </a:extLst>
        </xdr:cNvPr>
        <xdr:cNvGrpSpPr/>
      </xdr:nvGrpSpPr>
      <xdr:grpSpPr>
        <a:xfrm>
          <a:off x="6381749" y="2838450"/>
          <a:ext cx="2247901" cy="3581400"/>
          <a:chOff x="4292599" y="1016000"/>
          <a:chExt cx="3086101" cy="3581400"/>
        </a:xfrm>
      </xdr:grpSpPr>
      <xdr:sp macro="" textlink="">
        <xdr:nvSpPr>
          <xdr:cNvPr id="23" name="F_合格済試験 DEV">
            <a:extLst>
              <a:ext uri="{FF2B5EF4-FFF2-40B4-BE49-F238E27FC236}">
                <a16:creationId xmlns:a16="http://schemas.microsoft.com/office/drawing/2014/main" id="{ED41A7F9-A51F-4777-A9F4-A31A5F18E888}"/>
              </a:ext>
            </a:extLst>
          </xdr:cNvPr>
          <xdr:cNvSpPr/>
        </xdr:nvSpPr>
        <xdr:spPr>
          <a:xfrm>
            <a:off x="4292599" y="1295400"/>
            <a:ext cx="3028951" cy="33020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" name="L_合格済試験 DEV">
            <a:extLst>
              <a:ext uri="{FF2B5EF4-FFF2-40B4-BE49-F238E27FC236}">
                <a16:creationId xmlns:a16="http://schemas.microsoft.com/office/drawing/2014/main" id="{D8651403-1B7F-4DD8-A811-D544C0352B51}"/>
              </a:ext>
            </a:extLst>
          </xdr:cNvPr>
          <xdr:cNvSpPr txBox="1"/>
        </xdr:nvSpPr>
        <xdr:spPr>
          <a:xfrm>
            <a:off x="4292600" y="1016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合格済試験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5" name="C_合格済試験 DEV_0">
            <a:extLst>
              <a:ext uri="{FF2B5EF4-FFF2-40B4-BE49-F238E27FC236}">
                <a16:creationId xmlns:a16="http://schemas.microsoft.com/office/drawing/2014/main" id="{C4FFF488-6F8C-4E4B-A1D3-AA114C8E92AA}"/>
              </a:ext>
            </a:extLst>
          </xdr:cNvPr>
          <xdr:cNvSpPr txBox="1"/>
        </xdr:nvSpPr>
        <xdr:spPr>
          <a:xfrm>
            <a:off x="4356100" y="1358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C(FK)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26" name="C_合格済試験 DEV_1">
            <a:extLst>
              <a:ext uri="{FF2B5EF4-FFF2-40B4-BE49-F238E27FC236}">
                <a16:creationId xmlns:a16="http://schemas.microsoft.com/office/drawing/2014/main" id="{B615A2F5-F0A1-4F57-A5EF-2BF4833C4AA7}"/>
              </a:ext>
            </a:extLst>
          </xdr:cNvPr>
          <xdr:cNvSpPr txBox="1"/>
        </xdr:nvSpPr>
        <xdr:spPr>
          <a:xfrm>
            <a:off x="4356100" y="1574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テスト名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7" name="C_合格済試験 DEV_2">
            <a:extLst>
              <a:ext uri="{FF2B5EF4-FFF2-40B4-BE49-F238E27FC236}">
                <a16:creationId xmlns:a16="http://schemas.microsoft.com/office/drawing/2014/main" id="{9AC303B1-443D-4242-A0EA-EEAA632021AA}"/>
              </a:ext>
            </a:extLst>
          </xdr:cNvPr>
          <xdr:cNvSpPr txBox="1"/>
        </xdr:nvSpPr>
        <xdr:spPr>
          <a:xfrm>
            <a:off x="4356100" y="1790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8" name="C_合格済試験 DEV_3">
            <a:extLst>
              <a:ext uri="{FF2B5EF4-FFF2-40B4-BE49-F238E27FC236}">
                <a16:creationId xmlns:a16="http://schemas.microsoft.com/office/drawing/2014/main" id="{6B679AE4-D6B3-42FD-9741-83EE9CCFA6B6}"/>
              </a:ext>
            </a:extLst>
          </xdr:cNvPr>
          <xdr:cNvSpPr txBox="1"/>
        </xdr:nvSpPr>
        <xdr:spPr>
          <a:xfrm>
            <a:off x="4356100" y="2006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確定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)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関連レコード一覧</a:t>
            </a:r>
          </a:p>
        </xdr:txBody>
      </xdr:sp>
      <xdr:sp macro="" textlink="">
        <xdr:nvSpPr>
          <xdr:cNvPr id="29" name="C_合格済試験 DEV_4">
            <a:extLst>
              <a:ext uri="{FF2B5EF4-FFF2-40B4-BE49-F238E27FC236}">
                <a16:creationId xmlns:a16="http://schemas.microsoft.com/office/drawing/2014/main" id="{C5CE24DA-44D5-4F08-95DA-E37C8BC5E381}"/>
              </a:ext>
            </a:extLst>
          </xdr:cNvPr>
          <xdr:cNvSpPr txBox="1"/>
        </xdr:nvSpPr>
        <xdr:spPr>
          <a:xfrm>
            <a:off x="4356100" y="2222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0" name="C_合格済試験 DEV_5">
            <a:extLst>
              <a:ext uri="{FF2B5EF4-FFF2-40B4-BE49-F238E27FC236}">
                <a16:creationId xmlns:a16="http://schemas.microsoft.com/office/drawing/2014/main" id="{9955952C-656D-4680-AE0D-477DEA062EAD}"/>
              </a:ext>
            </a:extLst>
          </xdr:cNvPr>
          <xdr:cNvSpPr txBox="1"/>
        </xdr:nvSpPr>
        <xdr:spPr>
          <a:xfrm>
            <a:off x="4356100" y="2438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1" name="C_合格済試験 DEV_6">
            <a:extLst>
              <a:ext uri="{FF2B5EF4-FFF2-40B4-BE49-F238E27FC236}">
                <a16:creationId xmlns:a16="http://schemas.microsoft.com/office/drawing/2014/main" id="{8F436A5F-387F-4E0E-93FA-DDB16AA81CD8}"/>
              </a:ext>
            </a:extLst>
          </xdr:cNvPr>
          <xdr:cNvSpPr txBox="1"/>
        </xdr:nvSpPr>
        <xdr:spPr>
          <a:xfrm>
            <a:off x="4356100" y="26543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配信日付        日付</a:t>
            </a:r>
          </a:p>
        </xdr:txBody>
      </xdr:sp>
      <xdr:sp macro="" textlink="">
        <xdr:nvSpPr>
          <xdr:cNvPr id="32" name="C_合格済試験 DEV_7">
            <a:extLst>
              <a:ext uri="{FF2B5EF4-FFF2-40B4-BE49-F238E27FC236}">
                <a16:creationId xmlns:a16="http://schemas.microsoft.com/office/drawing/2014/main" id="{9F9742F3-46B5-4A51-B15D-19554C84EB9D}"/>
              </a:ext>
            </a:extLst>
          </xdr:cNvPr>
          <xdr:cNvSpPr txBox="1"/>
        </xdr:nvSpPr>
        <xdr:spPr>
          <a:xfrm>
            <a:off x="4356100" y="28702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G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</a:t>
            </a:r>
          </a:p>
        </xdr:txBody>
      </xdr:sp>
      <xdr:sp macro="" textlink="">
        <xdr:nvSpPr>
          <xdr:cNvPr id="33" name="C_合格済試験 DEV_8">
            <a:extLst>
              <a:ext uri="{FF2B5EF4-FFF2-40B4-BE49-F238E27FC236}">
                <a16:creationId xmlns:a16="http://schemas.microsoft.com/office/drawing/2014/main" id="{62C24813-60CD-47C8-8254-68AEA70DF38E}"/>
              </a:ext>
            </a:extLst>
          </xdr:cNvPr>
          <xdr:cNvSpPr txBox="1"/>
        </xdr:nvSpPr>
        <xdr:spPr>
          <a:xfrm>
            <a:off x="4356100" y="30861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組織選択</a:t>
            </a:r>
          </a:p>
        </xdr:txBody>
      </xdr:sp>
      <xdr:sp macro="" textlink="">
        <xdr:nvSpPr>
          <xdr:cNvPr id="34" name="C_合格済試験 DEV_9">
            <a:extLst>
              <a:ext uri="{FF2B5EF4-FFF2-40B4-BE49-F238E27FC236}">
                <a16:creationId xmlns:a16="http://schemas.microsoft.com/office/drawing/2014/main" id="{BEF13695-D923-440F-B9E3-2C75CF03447D}"/>
              </a:ext>
            </a:extLst>
          </xdr:cNvPr>
          <xdr:cNvSpPr txBox="1"/>
        </xdr:nvSpPr>
        <xdr:spPr>
          <a:xfrm>
            <a:off x="4356100" y="3302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5" name="C_合格済試験 DEV_10">
            <a:extLst>
              <a:ext uri="{FF2B5EF4-FFF2-40B4-BE49-F238E27FC236}">
                <a16:creationId xmlns:a16="http://schemas.microsoft.com/office/drawing/2014/main" id="{1A532F7D-B8FE-478B-9F0A-70982611F37E}"/>
              </a:ext>
            </a:extLst>
          </xdr:cNvPr>
          <xdr:cNvSpPr txBox="1"/>
        </xdr:nvSpPr>
        <xdr:spPr>
          <a:xfrm>
            <a:off x="4356100" y="3517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6" name="C_合格済試験 DEV_11">
            <a:extLst>
              <a:ext uri="{FF2B5EF4-FFF2-40B4-BE49-F238E27FC236}">
                <a16:creationId xmlns:a16="http://schemas.microsoft.com/office/drawing/2014/main" id="{943C1C66-7CBA-447E-9C50-8B7D762F244F}"/>
              </a:ext>
            </a:extLst>
          </xdr:cNvPr>
          <xdr:cNvSpPr txBox="1"/>
        </xdr:nvSpPr>
        <xdr:spPr>
          <a:xfrm>
            <a:off x="4356100" y="3733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7" name="C_合格済試験 DEV_12">
            <a:extLst>
              <a:ext uri="{FF2B5EF4-FFF2-40B4-BE49-F238E27FC236}">
                <a16:creationId xmlns:a16="http://schemas.microsoft.com/office/drawing/2014/main" id="{05036B08-F05D-4B5D-9BAF-457A5C1D62B6}"/>
              </a:ext>
            </a:extLst>
          </xdr:cNvPr>
          <xdr:cNvSpPr txBox="1"/>
        </xdr:nvSpPr>
        <xdr:spPr>
          <a:xfrm>
            <a:off x="4356100" y="3949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8" name="C_合格済試験 DEV_13">
            <a:extLst>
              <a:ext uri="{FF2B5EF4-FFF2-40B4-BE49-F238E27FC236}">
                <a16:creationId xmlns:a16="http://schemas.microsoft.com/office/drawing/2014/main" id="{FF47781E-34CD-4B5B-AA26-EB7F9C088C80}"/>
              </a:ext>
            </a:extLst>
          </xdr:cNvPr>
          <xdr:cNvSpPr txBox="1"/>
        </xdr:nvSpPr>
        <xdr:spPr>
          <a:xfrm>
            <a:off x="4356100" y="4165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再受験          チェックボックス</a:t>
            </a:r>
          </a:p>
        </xdr:txBody>
      </xdr:sp>
      <xdr:sp macro="" textlink="">
        <xdr:nvSpPr>
          <xdr:cNvPr id="39" name="C_合格済試験 DEV_14">
            <a:extLst>
              <a:ext uri="{FF2B5EF4-FFF2-40B4-BE49-F238E27FC236}">
                <a16:creationId xmlns:a16="http://schemas.microsoft.com/office/drawing/2014/main" id="{D5C0A625-AC57-4026-B6F5-FA5E9D0D4DCD}"/>
              </a:ext>
            </a:extLst>
          </xdr:cNvPr>
          <xdr:cNvSpPr txBox="1"/>
        </xdr:nvSpPr>
        <xdr:spPr>
          <a:xfrm>
            <a:off x="4356100" y="4381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40" name="P_合格済試験 DEV">
            <a:extLst>
              <a:ext uri="{FF2B5EF4-FFF2-40B4-BE49-F238E27FC236}">
                <a16:creationId xmlns:a16="http://schemas.microsoft.com/office/drawing/2014/main" id="{017E2151-DD1E-4426-8769-E0A172C8C07E}"/>
              </a:ext>
            </a:extLst>
          </xdr:cNvPr>
          <xdr:cNvCxnSpPr/>
        </xdr:nvCxnSpPr>
        <xdr:spPr>
          <a:xfrm>
            <a:off x="4306488" y="1574800"/>
            <a:ext cx="227092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142874</xdr:colOff>
      <xdr:row>19</xdr:row>
      <xdr:rowOff>130175</xdr:rowOff>
    </xdr:from>
    <xdr:to>
      <xdr:col>59</xdr:col>
      <xdr:colOff>85725</xdr:colOff>
      <xdr:row>41</xdr:row>
      <xdr:rowOff>168275</xdr:rowOff>
    </xdr:to>
    <xdr:grpSp>
      <xdr:nvGrpSpPr>
        <xdr:cNvPr id="96" name="T_ID受験者試験ﾊﾟｽﾜｰﾄﾞ DEV">
          <a:extLst>
            <a:ext uri="{FF2B5EF4-FFF2-40B4-BE49-F238E27FC236}">
              <a16:creationId xmlns:a16="http://schemas.microsoft.com/office/drawing/2014/main" id="{5A833FBB-B5C1-41C4-85A9-1E8E3ECFB6E6}"/>
            </a:ext>
          </a:extLst>
        </xdr:cNvPr>
        <xdr:cNvGrpSpPr/>
      </xdr:nvGrpSpPr>
      <xdr:grpSpPr>
        <a:xfrm>
          <a:off x="8905874" y="3921125"/>
          <a:ext cx="2419351" cy="4229100"/>
          <a:chOff x="1015999" y="12623800"/>
          <a:chExt cx="3619501" cy="4229100"/>
        </a:xfrm>
      </xdr:grpSpPr>
      <xdr:sp macro="" textlink="">
        <xdr:nvSpPr>
          <xdr:cNvPr id="97" name="F_ID受験者試験ﾊﾟｽﾜｰﾄﾞ DEV">
            <a:extLst>
              <a:ext uri="{FF2B5EF4-FFF2-40B4-BE49-F238E27FC236}">
                <a16:creationId xmlns:a16="http://schemas.microsoft.com/office/drawing/2014/main" id="{1E6EDA33-48E4-4E7A-8FD3-35105B41840A}"/>
              </a:ext>
            </a:extLst>
          </xdr:cNvPr>
          <xdr:cNvSpPr/>
        </xdr:nvSpPr>
        <xdr:spPr>
          <a:xfrm>
            <a:off x="1015999" y="12903200"/>
            <a:ext cx="3593366" cy="39497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8" name="L_ID受験者試験ﾊﾟｽﾜｰﾄﾞ DEV">
            <a:extLst>
              <a:ext uri="{FF2B5EF4-FFF2-40B4-BE49-F238E27FC236}">
                <a16:creationId xmlns:a16="http://schemas.microsoft.com/office/drawing/2014/main" id="{56C91A23-1E58-4CC4-8AEF-1E8085B29FB1}"/>
              </a:ext>
            </a:extLst>
          </xdr:cNvPr>
          <xdr:cNvSpPr txBox="1"/>
        </xdr:nvSpPr>
        <xdr:spPr>
          <a:xfrm>
            <a:off x="1016000" y="126238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受験者試験パスワード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9" name="C_ID受験者試験ﾊﾟｽﾜｰﾄﾞ DEV_0">
            <a:extLst>
              <a:ext uri="{FF2B5EF4-FFF2-40B4-BE49-F238E27FC236}">
                <a16:creationId xmlns:a16="http://schemas.microsoft.com/office/drawing/2014/main" id="{E189FD95-530C-4A75-A530-EB6AD0788107}"/>
              </a:ext>
            </a:extLst>
          </xdr:cNvPr>
          <xdr:cNvSpPr txBox="1"/>
        </xdr:nvSpPr>
        <xdr:spPr>
          <a:xfrm>
            <a:off x="1079500" y="129667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(FK)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100" name="C_ID受験者試験ﾊﾟｽﾜｰﾄﾞ DEV_1">
            <a:extLst>
              <a:ext uri="{FF2B5EF4-FFF2-40B4-BE49-F238E27FC236}">
                <a16:creationId xmlns:a16="http://schemas.microsoft.com/office/drawing/2014/main" id="{C76308E1-F702-42F3-A564-DA7A4F16D022}"/>
              </a:ext>
            </a:extLst>
          </xdr:cNvPr>
          <xdr:cNvSpPr txBox="1"/>
        </xdr:nvSpPr>
        <xdr:spPr>
          <a:xfrm>
            <a:off x="1079500" y="131826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試験用パスワード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1" name="C_ID受験者試験ﾊﾟｽﾜｰﾄﾞ DEV_2">
            <a:extLst>
              <a:ext uri="{FF2B5EF4-FFF2-40B4-BE49-F238E27FC236}">
                <a16:creationId xmlns:a16="http://schemas.microsoft.com/office/drawing/2014/main" id="{8E0D6209-1E19-4BF3-B5F0-6DB61E1425B9}"/>
              </a:ext>
            </a:extLst>
          </xdr:cNvPr>
          <xdr:cNvSpPr txBox="1"/>
        </xdr:nvSpPr>
        <xdr:spPr>
          <a:xfrm>
            <a:off x="1079500" y="133985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  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2" name="C_ID受験者試験ﾊﾟｽﾜｰﾄﾞ DEV_3">
            <a:extLst>
              <a:ext uri="{FF2B5EF4-FFF2-40B4-BE49-F238E27FC236}">
                <a16:creationId xmlns:a16="http://schemas.microsoft.com/office/drawing/2014/main" id="{A694CC2A-BBE5-4154-96A7-1D2BB8ECC432}"/>
              </a:ext>
            </a:extLst>
          </xdr:cNvPr>
          <xdr:cNvSpPr txBox="1"/>
        </xdr:nvSpPr>
        <xdr:spPr>
          <a:xfrm>
            <a:off x="1079500" y="136144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名  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3" name="C_ID受験者試験ﾊﾟｽﾜｰﾄﾞ DEV_4">
            <a:extLst>
              <a:ext uri="{FF2B5EF4-FFF2-40B4-BE49-F238E27FC236}">
                <a16:creationId xmlns:a16="http://schemas.microsoft.com/office/drawing/2014/main" id="{4731D37D-5022-40E2-AB6A-8F77BAC5CDDC}"/>
              </a:ext>
            </a:extLst>
          </xdr:cNvPr>
          <xdr:cNvSpPr txBox="1"/>
        </xdr:nvSpPr>
        <xdr:spPr>
          <a:xfrm>
            <a:off x="1079500" y="138303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4" name="C_ID受験者試験ﾊﾟｽﾜｰﾄﾞ DEV_5">
            <a:extLst>
              <a:ext uri="{FF2B5EF4-FFF2-40B4-BE49-F238E27FC236}">
                <a16:creationId xmlns:a16="http://schemas.microsoft.com/office/drawing/2014/main" id="{AF3D602D-B8E7-407D-866A-45A2092089E8}"/>
              </a:ext>
            </a:extLst>
          </xdr:cNvPr>
          <xdr:cNvSpPr txBox="1"/>
        </xdr:nvSpPr>
        <xdr:spPr>
          <a:xfrm>
            <a:off x="1079500" y="140462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主務大分類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5" name="C_ID受験者試験ﾊﾟｽﾜｰﾄﾞ DEV_6">
            <a:extLst>
              <a:ext uri="{FF2B5EF4-FFF2-40B4-BE49-F238E27FC236}">
                <a16:creationId xmlns:a16="http://schemas.microsoft.com/office/drawing/2014/main" id="{8CA9A180-5655-4573-AC63-948EFC586930}"/>
              </a:ext>
            </a:extLst>
          </xdr:cNvPr>
          <xdr:cNvSpPr txBox="1"/>
        </xdr:nvSpPr>
        <xdr:spPr>
          <a:xfrm>
            <a:off x="1079500" y="142621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）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6" name="C_ID受験者試験ﾊﾟｽﾜｰﾄﾞ DEV_7">
            <a:extLst>
              <a:ext uri="{FF2B5EF4-FFF2-40B4-BE49-F238E27FC236}">
                <a16:creationId xmlns:a16="http://schemas.microsoft.com/office/drawing/2014/main" id="{D1ACC990-F03B-4401-A396-0263406FF070}"/>
              </a:ext>
            </a:extLst>
          </xdr:cNvPr>
          <xdr:cNvSpPr txBox="1"/>
        </xdr:nvSpPr>
        <xdr:spPr>
          <a:xfrm>
            <a:off x="1079500" y="144780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）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7" name="C_ID受験者試験ﾊﾟｽﾜｰﾄﾞ DEV_8">
            <a:extLst>
              <a:ext uri="{FF2B5EF4-FFF2-40B4-BE49-F238E27FC236}">
                <a16:creationId xmlns:a16="http://schemas.microsoft.com/office/drawing/2014/main" id="{3134BA07-F0F0-49B4-8F46-90F92EB5F7B6}"/>
              </a:ext>
            </a:extLst>
          </xdr:cNvPr>
          <xdr:cNvSpPr txBox="1"/>
        </xdr:nvSpPr>
        <xdr:spPr>
          <a:xfrm>
            <a:off x="1079500" y="146939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最新配信日付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8" name="C_ID受験者試験ﾊﾟｽﾜｰﾄﾞ DEV_9">
            <a:extLst>
              <a:ext uri="{FF2B5EF4-FFF2-40B4-BE49-F238E27FC236}">
                <a16:creationId xmlns:a16="http://schemas.microsoft.com/office/drawing/2014/main" id="{3C7A6062-2AD0-4AF0-9AB0-F54DF7B02EE2}"/>
              </a:ext>
            </a:extLst>
          </xdr:cNvPr>
          <xdr:cNvSpPr txBox="1"/>
        </xdr:nvSpPr>
        <xdr:spPr>
          <a:xfrm>
            <a:off x="1079500" y="149098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対象試験一覧          関連レコード一覧</a:t>
            </a:r>
          </a:p>
        </xdr:txBody>
      </xdr:sp>
      <xdr:sp macro="" textlink="">
        <xdr:nvSpPr>
          <xdr:cNvPr id="109" name="C_ID受験者試験ﾊﾟｽﾜｰﾄﾞ DEV_10">
            <a:extLst>
              <a:ext uri="{FF2B5EF4-FFF2-40B4-BE49-F238E27FC236}">
                <a16:creationId xmlns:a16="http://schemas.microsoft.com/office/drawing/2014/main" id="{3B631DF3-F992-4CA4-966C-AAD39603EECC}"/>
              </a:ext>
            </a:extLst>
          </xdr:cNvPr>
          <xdr:cNvSpPr txBox="1"/>
        </xdr:nvSpPr>
        <xdr:spPr>
          <a:xfrm>
            <a:off x="1079500" y="151257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              グループ</a:t>
            </a:r>
          </a:p>
        </xdr:txBody>
      </xdr:sp>
      <xdr:sp macro="" textlink="">
        <xdr:nvSpPr>
          <xdr:cNvPr id="110" name="C_ID受験者試験ﾊﾟｽﾜｰﾄﾞ DEV_11">
            <a:extLst>
              <a:ext uri="{FF2B5EF4-FFF2-40B4-BE49-F238E27FC236}">
                <a16:creationId xmlns:a16="http://schemas.microsoft.com/office/drawing/2014/main" id="{8E589A06-72FA-45B6-AF13-4E9C149985BC}"/>
              </a:ext>
            </a:extLst>
          </xdr:cNvPr>
          <xdr:cNvSpPr txBox="1"/>
        </xdr:nvSpPr>
        <xdr:spPr>
          <a:xfrm>
            <a:off x="1079500" y="153416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契約法人コード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1" name="C_ID受験者試験ﾊﾟｽﾜｰﾄﾞ DEV_12">
            <a:extLst>
              <a:ext uri="{FF2B5EF4-FFF2-40B4-BE49-F238E27FC236}">
                <a16:creationId xmlns:a16="http://schemas.microsoft.com/office/drawing/2014/main" id="{A8E51F6B-E128-4CCE-8229-D42AC1357543}"/>
              </a:ext>
            </a:extLst>
          </xdr:cNvPr>
          <xdr:cNvSpPr txBox="1"/>
        </xdr:nvSpPr>
        <xdr:spPr>
          <a:xfrm>
            <a:off x="1079500" y="155575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2" name="C_ID受験者試験ﾊﾟｽﾜｰﾄﾞ DEV_13">
            <a:extLst>
              <a:ext uri="{FF2B5EF4-FFF2-40B4-BE49-F238E27FC236}">
                <a16:creationId xmlns:a16="http://schemas.microsoft.com/office/drawing/2014/main" id="{163C1050-3662-45CF-8F26-143A9D39E261}"/>
              </a:ext>
            </a:extLst>
          </xdr:cNvPr>
          <xdr:cNvSpPr txBox="1"/>
        </xdr:nvSpPr>
        <xdr:spPr>
          <a:xfrm>
            <a:off x="1079500" y="157734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      組織選択</a:t>
            </a:r>
          </a:p>
        </xdr:txBody>
      </xdr:sp>
      <xdr:sp macro="" textlink="">
        <xdr:nvSpPr>
          <xdr:cNvPr id="113" name="C_ID受験者試験ﾊﾟｽﾜｰﾄﾞ DEV_14">
            <a:extLst>
              <a:ext uri="{FF2B5EF4-FFF2-40B4-BE49-F238E27FC236}">
                <a16:creationId xmlns:a16="http://schemas.microsoft.com/office/drawing/2014/main" id="{E3B2591F-805B-41B3-9DBD-423FDAF676EC}"/>
              </a:ext>
            </a:extLst>
          </xdr:cNvPr>
          <xdr:cNvSpPr txBox="1"/>
        </xdr:nvSpPr>
        <xdr:spPr>
          <a:xfrm>
            <a:off x="1079500" y="159893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配信キー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4" name="C_ID受験者試験ﾊﾟｽﾜｰﾄﾞ DEV_15">
            <a:extLst>
              <a:ext uri="{FF2B5EF4-FFF2-40B4-BE49-F238E27FC236}">
                <a16:creationId xmlns:a16="http://schemas.microsoft.com/office/drawing/2014/main" id="{CFDD4917-1718-470E-89A4-464C0EAAA700}"/>
              </a:ext>
            </a:extLst>
          </xdr:cNvPr>
          <xdr:cNvSpPr txBox="1"/>
        </xdr:nvSpPr>
        <xdr:spPr>
          <a:xfrm>
            <a:off x="1079500" y="162052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5" name="C_ID受験者試験ﾊﾟｽﾜｰﾄﾞ DEV_16">
            <a:extLst>
              <a:ext uri="{FF2B5EF4-FFF2-40B4-BE49-F238E27FC236}">
                <a16:creationId xmlns:a16="http://schemas.microsoft.com/office/drawing/2014/main" id="{1565E6BD-1820-46F4-9A31-282D6911C3E8}"/>
              </a:ext>
            </a:extLst>
          </xdr:cNvPr>
          <xdr:cNvSpPr txBox="1"/>
        </xdr:nvSpPr>
        <xdr:spPr>
          <a:xfrm>
            <a:off x="1079500" y="164211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6" name="C_ID受験者試験ﾊﾟｽﾜｰﾄﾞ DEV_17">
            <a:extLst>
              <a:ext uri="{FF2B5EF4-FFF2-40B4-BE49-F238E27FC236}">
                <a16:creationId xmlns:a16="http://schemas.microsoft.com/office/drawing/2014/main" id="{E6F2AEE7-CE71-426C-8D58-E32AA60919DE}"/>
              </a:ext>
            </a:extLst>
          </xdr:cNvPr>
          <xdr:cNvSpPr txBox="1"/>
        </xdr:nvSpPr>
        <xdr:spPr>
          <a:xfrm>
            <a:off x="1079500" y="166370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17" name="P_ID受験者試験ﾊﾟｽﾜｰﾄﾞ DEV">
            <a:extLst>
              <a:ext uri="{FF2B5EF4-FFF2-40B4-BE49-F238E27FC236}">
                <a16:creationId xmlns:a16="http://schemas.microsoft.com/office/drawing/2014/main" id="{4E449907-9D99-4F67-A6D9-EA931BB6B6E3}"/>
              </a:ext>
            </a:extLst>
          </xdr:cNvPr>
          <xdr:cNvCxnSpPr/>
        </xdr:nvCxnSpPr>
        <xdr:spPr>
          <a:xfrm>
            <a:off x="1020013" y="13182600"/>
            <a:ext cx="267167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161925</xdr:colOff>
      <xdr:row>3</xdr:row>
      <xdr:rowOff>63500</xdr:rowOff>
    </xdr:from>
    <xdr:to>
      <xdr:col>16</xdr:col>
      <xdr:colOff>38100</xdr:colOff>
      <xdr:row>52</xdr:row>
      <xdr:rowOff>139700</xdr:rowOff>
    </xdr:to>
    <xdr:grpSp>
      <xdr:nvGrpSpPr>
        <xdr:cNvPr id="118" name="T_在籍情報ALL DEV">
          <a:extLst>
            <a:ext uri="{FF2B5EF4-FFF2-40B4-BE49-F238E27FC236}">
              <a16:creationId xmlns:a16="http://schemas.microsoft.com/office/drawing/2014/main" id="{4385BF62-B5F0-4FB0-8B49-CDB7893C7BC5}"/>
            </a:ext>
          </a:extLst>
        </xdr:cNvPr>
        <xdr:cNvGrpSpPr/>
      </xdr:nvGrpSpPr>
      <xdr:grpSpPr>
        <a:xfrm>
          <a:off x="542925" y="806450"/>
          <a:ext cx="2543175" cy="9410700"/>
          <a:chOff x="4826000" y="12623800"/>
          <a:chExt cx="3263900" cy="9410700"/>
        </a:xfrm>
      </xdr:grpSpPr>
      <xdr:sp macro="" textlink="">
        <xdr:nvSpPr>
          <xdr:cNvPr id="119" name="F_在籍情報ALL DEV">
            <a:extLst>
              <a:ext uri="{FF2B5EF4-FFF2-40B4-BE49-F238E27FC236}">
                <a16:creationId xmlns:a16="http://schemas.microsoft.com/office/drawing/2014/main" id="{EF06A8C2-809E-4355-8ED1-C4F2031F5FC4}"/>
              </a:ext>
            </a:extLst>
          </xdr:cNvPr>
          <xdr:cNvSpPr/>
        </xdr:nvSpPr>
        <xdr:spPr>
          <a:xfrm>
            <a:off x="4826000" y="12903200"/>
            <a:ext cx="3200400" cy="91313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0" name="L_在籍情報ALL DEV">
            <a:extLst>
              <a:ext uri="{FF2B5EF4-FFF2-40B4-BE49-F238E27FC236}">
                <a16:creationId xmlns:a16="http://schemas.microsoft.com/office/drawing/2014/main" id="{8A6281FF-B9F5-478C-B94F-279533B63F9E}"/>
              </a:ext>
            </a:extLst>
          </xdr:cNvPr>
          <xdr:cNvSpPr txBox="1"/>
        </xdr:nvSpPr>
        <xdr:spPr>
          <a:xfrm>
            <a:off x="4826000" y="12623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ALL 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C_在籍情報ALL DEV_0">
            <a:extLst>
              <a:ext uri="{FF2B5EF4-FFF2-40B4-BE49-F238E27FC236}">
                <a16:creationId xmlns:a16="http://schemas.microsoft.com/office/drawing/2014/main" id="{44A471AB-B2D0-4BD0-B7FE-94BC235538DE}"/>
              </a:ext>
            </a:extLst>
          </xdr:cNvPr>
          <xdr:cNvSpPr txBox="1"/>
        </xdr:nvSpPr>
        <xdr:spPr>
          <a:xfrm>
            <a:off x="4889500" y="12966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  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レコード番号</a:t>
            </a:r>
          </a:p>
        </xdr:txBody>
      </xdr:sp>
      <xdr:sp macro="" textlink="">
        <xdr:nvSpPr>
          <xdr:cNvPr id="122" name="C_在籍情報ALL DEV_1">
            <a:extLst>
              <a:ext uri="{FF2B5EF4-FFF2-40B4-BE49-F238E27FC236}">
                <a16:creationId xmlns:a16="http://schemas.microsoft.com/office/drawing/2014/main" id="{F314616F-961F-41BD-800D-ED3D7F40D764}"/>
              </a:ext>
            </a:extLst>
          </xdr:cNvPr>
          <xdr:cNvSpPr txBox="1"/>
        </xdr:nvSpPr>
        <xdr:spPr>
          <a:xfrm>
            <a:off x="4889500" y="13182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在籍状況          ドロップダウン</a:t>
            </a:r>
          </a:p>
        </xdr:txBody>
      </xdr:sp>
      <xdr:sp macro="" textlink="">
        <xdr:nvSpPr>
          <xdr:cNvPr id="123" name="C_在籍情報ALL DEV_2">
            <a:extLst>
              <a:ext uri="{FF2B5EF4-FFF2-40B4-BE49-F238E27FC236}">
                <a16:creationId xmlns:a16="http://schemas.microsoft.com/office/drawing/2014/main" id="{1A46E271-C77C-4BFE-BD29-F396DC3F1445}"/>
              </a:ext>
            </a:extLst>
          </xdr:cNvPr>
          <xdr:cNvSpPr txBox="1"/>
        </xdr:nvSpPr>
        <xdr:spPr>
          <a:xfrm>
            <a:off x="4889500" y="13398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組合せコード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4" name="C_在籍情報ALL DEV_3">
            <a:extLst>
              <a:ext uri="{FF2B5EF4-FFF2-40B4-BE49-F238E27FC236}">
                <a16:creationId xmlns:a16="http://schemas.microsoft.com/office/drawing/2014/main" id="{5AD435E5-5CAD-4142-92A5-124544617DB7}"/>
              </a:ext>
            </a:extLst>
          </xdr:cNvPr>
          <xdr:cNvSpPr txBox="1"/>
        </xdr:nvSpPr>
        <xdr:spPr>
          <a:xfrm>
            <a:off x="4889500" y="13614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5" name="C_在籍情報ALL DEV_4">
            <a:extLst>
              <a:ext uri="{FF2B5EF4-FFF2-40B4-BE49-F238E27FC236}">
                <a16:creationId xmlns:a16="http://schemas.microsoft.com/office/drawing/2014/main" id="{D05F402E-F00E-4B94-9AD0-0862A923CF27}"/>
              </a:ext>
            </a:extLst>
          </xdr:cNvPr>
          <xdr:cNvSpPr txBox="1"/>
        </xdr:nvSpPr>
        <xdr:spPr>
          <a:xfrm>
            <a:off x="4889500" y="13830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住所情報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6" name="C_在籍情報ALL DEV_5">
            <a:extLst>
              <a:ext uri="{FF2B5EF4-FFF2-40B4-BE49-F238E27FC236}">
                <a16:creationId xmlns:a16="http://schemas.microsoft.com/office/drawing/2014/main" id="{B8831623-3F91-405E-960E-2663D7B5BB15}"/>
              </a:ext>
            </a:extLst>
          </xdr:cNvPr>
          <xdr:cNvSpPr txBox="1"/>
        </xdr:nvSpPr>
        <xdr:spPr>
          <a:xfrm>
            <a:off x="4889500" y="14046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7" name="C_在籍情報ALL DEV_6">
            <a:extLst>
              <a:ext uri="{FF2B5EF4-FFF2-40B4-BE49-F238E27FC236}">
                <a16:creationId xmlns:a16="http://schemas.microsoft.com/office/drawing/2014/main" id="{B6EC1A52-C0F4-469D-BCA4-38FDE54A16DD}"/>
              </a:ext>
            </a:extLst>
          </xdr:cNvPr>
          <xdr:cNvSpPr txBox="1"/>
        </xdr:nvSpPr>
        <xdr:spPr>
          <a:xfrm>
            <a:off x="4889500" y="14262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8" name="C_在籍情報ALL DEV_7">
            <a:extLst>
              <a:ext uri="{FF2B5EF4-FFF2-40B4-BE49-F238E27FC236}">
                <a16:creationId xmlns:a16="http://schemas.microsoft.com/office/drawing/2014/main" id="{14D64FD1-19DD-4575-A96D-440884BF2069}"/>
              </a:ext>
            </a:extLst>
          </xdr:cNvPr>
          <xdr:cNvSpPr txBox="1"/>
        </xdr:nvSpPr>
        <xdr:spPr>
          <a:xfrm>
            <a:off x="4889500" y="14478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9" name="C_在籍情報ALL DEV_8">
            <a:extLst>
              <a:ext uri="{FF2B5EF4-FFF2-40B4-BE49-F238E27FC236}">
                <a16:creationId xmlns:a16="http://schemas.microsoft.com/office/drawing/2014/main" id="{0287BD9E-AA15-43B5-8F2D-766AA668FBFB}"/>
              </a:ext>
            </a:extLst>
          </xdr:cNvPr>
          <xdr:cNvSpPr txBox="1"/>
        </xdr:nvSpPr>
        <xdr:spPr>
          <a:xfrm>
            <a:off x="4889500" y="14693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0" name="C_在籍情報ALL DEV_9">
            <a:extLst>
              <a:ext uri="{FF2B5EF4-FFF2-40B4-BE49-F238E27FC236}">
                <a16:creationId xmlns:a16="http://schemas.microsoft.com/office/drawing/2014/main" id="{BAD835F5-76E0-40C3-B113-0637B73FDD5C}"/>
              </a:ext>
            </a:extLst>
          </xdr:cNvPr>
          <xdr:cNvSpPr txBox="1"/>
        </xdr:nvSpPr>
        <xdr:spPr>
          <a:xfrm>
            <a:off x="4889500" y="14909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管轄法人コード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1" name="C_在籍情報ALL DEV_10">
            <a:extLst>
              <a:ext uri="{FF2B5EF4-FFF2-40B4-BE49-F238E27FC236}">
                <a16:creationId xmlns:a16="http://schemas.microsoft.com/office/drawing/2014/main" id="{530D2B4A-0146-4CDB-9C9C-8A4C67AC65E2}"/>
              </a:ext>
            </a:extLst>
          </xdr:cNvPr>
          <xdr:cNvSpPr txBox="1"/>
        </xdr:nvSpPr>
        <xdr:spPr>
          <a:xfrm>
            <a:off x="4889500" y="15125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管轄法人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2" name="C_在籍情報ALL DEV_11">
            <a:extLst>
              <a:ext uri="{FF2B5EF4-FFF2-40B4-BE49-F238E27FC236}">
                <a16:creationId xmlns:a16="http://schemas.microsoft.com/office/drawing/2014/main" id="{4627C167-2884-4925-8C6F-242C89EC3A58}"/>
              </a:ext>
            </a:extLst>
          </xdr:cNvPr>
          <xdr:cNvSpPr txBox="1"/>
        </xdr:nvSpPr>
        <xdr:spPr>
          <a:xfrm>
            <a:off x="4889500" y="15341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3" name="C_在籍情報ALL DEV_12">
            <a:extLst>
              <a:ext uri="{FF2B5EF4-FFF2-40B4-BE49-F238E27FC236}">
                <a16:creationId xmlns:a16="http://schemas.microsoft.com/office/drawing/2014/main" id="{D66CC3A0-253C-4D2E-9AB0-F1C14EA475F3}"/>
              </a:ext>
            </a:extLst>
          </xdr:cNvPr>
          <xdr:cNvSpPr txBox="1"/>
        </xdr:nvSpPr>
        <xdr:spPr>
          <a:xfrm>
            <a:off x="4889500" y="15557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4" name="C_在籍情報ALL DEV_13">
            <a:extLst>
              <a:ext uri="{FF2B5EF4-FFF2-40B4-BE49-F238E27FC236}">
                <a16:creationId xmlns:a16="http://schemas.microsoft.com/office/drawing/2014/main" id="{0AB06CDF-F798-4EE2-8A59-FF7185AE44AA}"/>
              </a:ext>
            </a:extLst>
          </xdr:cNvPr>
          <xdr:cNvSpPr txBox="1"/>
        </xdr:nvSpPr>
        <xdr:spPr>
          <a:xfrm>
            <a:off x="4889500" y="15773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5" name="C_在籍情報ALL DEV_14">
            <a:extLst>
              <a:ext uri="{FF2B5EF4-FFF2-40B4-BE49-F238E27FC236}">
                <a16:creationId xmlns:a16="http://schemas.microsoft.com/office/drawing/2014/main" id="{1DF7AF67-0D34-4041-84E8-4F788AD30A72}"/>
              </a:ext>
            </a:extLst>
          </xdr:cNvPr>
          <xdr:cNvSpPr txBox="1"/>
        </xdr:nvSpPr>
        <xdr:spPr>
          <a:xfrm>
            <a:off x="4889500" y="15989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6" name="C_在籍情報ALL DEV_15">
            <a:extLst>
              <a:ext uri="{FF2B5EF4-FFF2-40B4-BE49-F238E27FC236}">
                <a16:creationId xmlns:a16="http://schemas.microsoft.com/office/drawing/2014/main" id="{E0795C56-F238-4328-A218-3BACA8213463}"/>
              </a:ext>
            </a:extLst>
          </xdr:cNvPr>
          <xdr:cNvSpPr txBox="1"/>
        </xdr:nvSpPr>
        <xdr:spPr>
          <a:xfrm>
            <a:off x="4889500" y="16205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拠点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/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部署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7" name="C_在籍情報ALL DEV_16">
            <a:extLst>
              <a:ext uri="{FF2B5EF4-FFF2-40B4-BE49-F238E27FC236}">
                <a16:creationId xmlns:a16="http://schemas.microsoft.com/office/drawing/2014/main" id="{B689C702-5ED5-40E8-BF1C-64AB6104FB7D}"/>
              </a:ext>
            </a:extLst>
          </xdr:cNvPr>
          <xdr:cNvSpPr txBox="1"/>
        </xdr:nvSpPr>
        <xdr:spPr>
          <a:xfrm>
            <a:off x="4889500" y="16421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チーム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/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部課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8" name="C_在籍情報ALL DEV_17">
            <a:extLst>
              <a:ext uri="{FF2B5EF4-FFF2-40B4-BE49-F238E27FC236}">
                <a16:creationId xmlns:a16="http://schemas.microsoft.com/office/drawing/2014/main" id="{FE21330A-82D1-4DF2-885D-773087E329BB}"/>
              </a:ext>
            </a:extLst>
          </xdr:cNvPr>
          <xdr:cNvSpPr txBox="1"/>
        </xdr:nvSpPr>
        <xdr:spPr>
          <a:xfrm>
            <a:off x="4889500" y="16637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9" name="C_在籍情報ALL DEV_18">
            <a:extLst>
              <a:ext uri="{FF2B5EF4-FFF2-40B4-BE49-F238E27FC236}">
                <a16:creationId xmlns:a16="http://schemas.microsoft.com/office/drawing/2014/main" id="{88A799C9-967D-449A-8F99-CB2ED4B75E0B}"/>
              </a:ext>
            </a:extLst>
          </xdr:cNvPr>
          <xdr:cNvSpPr txBox="1"/>
        </xdr:nvSpPr>
        <xdr:spPr>
          <a:xfrm>
            <a:off x="4889500" y="16852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名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0" name="C_在籍情報ALL DEV_19">
            <a:extLst>
              <a:ext uri="{FF2B5EF4-FFF2-40B4-BE49-F238E27FC236}">
                <a16:creationId xmlns:a16="http://schemas.microsoft.com/office/drawing/2014/main" id="{CD2C10C0-1361-42B7-881A-DD5BFB98A82A}"/>
              </a:ext>
            </a:extLst>
          </xdr:cNvPr>
          <xdr:cNvSpPr txBox="1"/>
        </xdr:nvSpPr>
        <xdr:spPr>
          <a:xfrm>
            <a:off x="4889500" y="17068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ﾌﾘｶﾞﾅ（氏）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1" name="C_在籍情報ALL DEV_20">
            <a:extLst>
              <a:ext uri="{FF2B5EF4-FFF2-40B4-BE49-F238E27FC236}">
                <a16:creationId xmlns:a16="http://schemas.microsoft.com/office/drawing/2014/main" id="{2CA0E9EE-B575-46BB-82C5-4BA66BD28F7C}"/>
              </a:ext>
            </a:extLst>
          </xdr:cNvPr>
          <xdr:cNvSpPr txBox="1"/>
        </xdr:nvSpPr>
        <xdr:spPr>
          <a:xfrm>
            <a:off x="4889500" y="17284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ﾌﾘｶﾞﾅ（名）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2" name="C_在籍情報ALL DEV_21">
            <a:extLst>
              <a:ext uri="{FF2B5EF4-FFF2-40B4-BE49-F238E27FC236}">
                <a16:creationId xmlns:a16="http://schemas.microsoft.com/office/drawing/2014/main" id="{8B0681F0-CA42-464E-9B14-F35A12862CFC}"/>
              </a:ext>
            </a:extLst>
          </xdr:cNvPr>
          <xdr:cNvSpPr txBox="1"/>
        </xdr:nvSpPr>
        <xdr:spPr>
          <a:xfrm>
            <a:off x="4889500" y="17500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役職名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3" name="C_在籍情報ALL DEV_22">
            <a:extLst>
              <a:ext uri="{FF2B5EF4-FFF2-40B4-BE49-F238E27FC236}">
                <a16:creationId xmlns:a16="http://schemas.microsoft.com/office/drawing/2014/main" id="{A8AB4E63-D166-47B0-805C-726D8CFACED7}"/>
              </a:ext>
            </a:extLst>
          </xdr:cNvPr>
          <xdr:cNvSpPr txBox="1"/>
        </xdr:nvSpPr>
        <xdr:spPr>
          <a:xfrm>
            <a:off x="4889500" y="17716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入社日            日付</a:t>
            </a:r>
          </a:p>
        </xdr:txBody>
      </xdr:sp>
      <xdr:sp macro="" textlink="">
        <xdr:nvSpPr>
          <xdr:cNvPr id="144" name="C_在籍情報ALL DEV_23">
            <a:extLst>
              <a:ext uri="{FF2B5EF4-FFF2-40B4-BE49-F238E27FC236}">
                <a16:creationId xmlns:a16="http://schemas.microsoft.com/office/drawing/2014/main" id="{F790CE4B-C677-4A41-888A-8BD70DFDB79F}"/>
              </a:ext>
            </a:extLst>
          </xdr:cNvPr>
          <xdr:cNvSpPr txBox="1"/>
        </xdr:nvSpPr>
        <xdr:spPr>
          <a:xfrm>
            <a:off x="4889500" y="17932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退職日            日付</a:t>
            </a:r>
          </a:p>
        </xdr:txBody>
      </xdr:sp>
      <xdr:sp macro="" textlink="">
        <xdr:nvSpPr>
          <xdr:cNvPr id="145" name="C_在籍情報ALL DEV_24">
            <a:extLst>
              <a:ext uri="{FF2B5EF4-FFF2-40B4-BE49-F238E27FC236}">
                <a16:creationId xmlns:a16="http://schemas.microsoft.com/office/drawing/2014/main" id="{28BF526B-3A04-4410-8CB4-41E7AECAE637}"/>
              </a:ext>
            </a:extLst>
          </xdr:cNvPr>
          <xdr:cNvSpPr txBox="1"/>
        </xdr:nvSpPr>
        <xdr:spPr>
          <a:xfrm>
            <a:off x="4889500" y="18148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主務分類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6" name="C_在籍情報ALL DEV_25">
            <a:extLst>
              <a:ext uri="{FF2B5EF4-FFF2-40B4-BE49-F238E27FC236}">
                <a16:creationId xmlns:a16="http://schemas.microsoft.com/office/drawing/2014/main" id="{9C82C32B-0DDD-44ED-9BFF-CFDE3C32C5CB}"/>
              </a:ext>
            </a:extLst>
          </xdr:cNvPr>
          <xdr:cNvSpPr txBox="1"/>
        </xdr:nvSpPr>
        <xdr:spPr>
          <a:xfrm>
            <a:off x="4889500" y="18364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主務大分類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7" name="C_在籍情報ALL DEV_26">
            <a:extLst>
              <a:ext uri="{FF2B5EF4-FFF2-40B4-BE49-F238E27FC236}">
                <a16:creationId xmlns:a16="http://schemas.microsoft.com/office/drawing/2014/main" id="{2FD9F4C2-573B-433E-B24F-014C33AA8DCB}"/>
              </a:ext>
            </a:extLst>
          </xdr:cNvPr>
          <xdr:cNvSpPr txBox="1"/>
        </xdr:nvSpPr>
        <xdr:spPr>
          <a:xfrm>
            <a:off x="4889500" y="18580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主務小分類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8" name="C_在籍情報ALL DEV_27">
            <a:extLst>
              <a:ext uri="{FF2B5EF4-FFF2-40B4-BE49-F238E27FC236}">
                <a16:creationId xmlns:a16="http://schemas.microsoft.com/office/drawing/2014/main" id="{021BAD57-1352-4A80-87C3-A63ED71E7E7F}"/>
              </a:ext>
            </a:extLst>
          </xdr:cNvPr>
          <xdr:cNvSpPr txBox="1"/>
        </xdr:nvSpPr>
        <xdr:spPr>
          <a:xfrm>
            <a:off x="4889500" y="18796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職種分類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9" name="C_在籍情報ALL DEV_28">
            <a:extLst>
              <a:ext uri="{FF2B5EF4-FFF2-40B4-BE49-F238E27FC236}">
                <a16:creationId xmlns:a16="http://schemas.microsoft.com/office/drawing/2014/main" id="{CA88892B-2E77-4C57-A333-D9740090A0B9}"/>
              </a:ext>
            </a:extLst>
          </xdr:cNvPr>
          <xdr:cNvSpPr txBox="1"/>
        </xdr:nvSpPr>
        <xdr:spPr>
          <a:xfrm>
            <a:off x="4889500" y="19011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職種大分類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0" name="C_在籍情報ALL DEV_29">
            <a:extLst>
              <a:ext uri="{FF2B5EF4-FFF2-40B4-BE49-F238E27FC236}">
                <a16:creationId xmlns:a16="http://schemas.microsoft.com/office/drawing/2014/main" id="{DF0565DC-CAD3-48C1-B07A-914514C3A769}"/>
              </a:ext>
            </a:extLst>
          </xdr:cNvPr>
          <xdr:cNvSpPr txBox="1"/>
        </xdr:nvSpPr>
        <xdr:spPr>
          <a:xfrm>
            <a:off x="4889500" y="19227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職種小分類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1" name="C_在籍情報ALL DEV_30">
            <a:extLst>
              <a:ext uri="{FF2B5EF4-FFF2-40B4-BE49-F238E27FC236}">
                <a16:creationId xmlns:a16="http://schemas.microsoft.com/office/drawing/2014/main" id="{04AEF152-6566-4ABD-BE27-2FAB36900A9B}"/>
              </a:ext>
            </a:extLst>
          </xdr:cNvPr>
          <xdr:cNvSpPr txBox="1"/>
        </xdr:nvSpPr>
        <xdr:spPr>
          <a:xfrm>
            <a:off x="4889500" y="19443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  リンク</a:t>
            </a:r>
          </a:p>
        </xdr:txBody>
      </xdr:sp>
      <xdr:sp macro="" textlink="">
        <xdr:nvSpPr>
          <xdr:cNvPr id="152" name="C_在籍情報ALL DEV_31">
            <a:extLst>
              <a:ext uri="{FF2B5EF4-FFF2-40B4-BE49-F238E27FC236}">
                <a16:creationId xmlns:a16="http://schemas.microsoft.com/office/drawing/2014/main" id="{78278A04-494C-40AE-A44F-233E1D988150}"/>
              </a:ext>
            </a:extLst>
          </xdr:cNvPr>
          <xdr:cNvSpPr txBox="1"/>
        </xdr:nvSpPr>
        <xdr:spPr>
          <a:xfrm>
            <a:off x="4889500" y="19659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雇用形態          ドロップダウン</a:t>
            </a:r>
          </a:p>
        </xdr:txBody>
      </xdr:sp>
      <xdr:sp macro="" textlink="">
        <xdr:nvSpPr>
          <xdr:cNvPr id="153" name="C_在籍情報ALL DEV_32">
            <a:extLst>
              <a:ext uri="{FF2B5EF4-FFF2-40B4-BE49-F238E27FC236}">
                <a16:creationId xmlns:a16="http://schemas.microsoft.com/office/drawing/2014/main" id="{E3DA2A13-6A1C-4838-A9D6-68F68F246096}"/>
              </a:ext>
            </a:extLst>
          </xdr:cNvPr>
          <xdr:cNvSpPr txBox="1"/>
        </xdr:nvSpPr>
        <xdr:spPr>
          <a:xfrm>
            <a:off x="4889500" y="19875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新卒フラグ        ドロップダウン</a:t>
            </a:r>
          </a:p>
        </xdr:txBody>
      </xdr:sp>
      <xdr:sp macro="" textlink="">
        <xdr:nvSpPr>
          <xdr:cNvPr id="154" name="C_在籍情報ALL DEV_33">
            <a:extLst>
              <a:ext uri="{FF2B5EF4-FFF2-40B4-BE49-F238E27FC236}">
                <a16:creationId xmlns:a16="http://schemas.microsoft.com/office/drawing/2014/main" id="{3DE2BDB3-D7F1-4266-8197-764610B3B67C}"/>
              </a:ext>
            </a:extLst>
          </xdr:cNvPr>
          <xdr:cNvSpPr txBox="1"/>
        </xdr:nvSpPr>
        <xdr:spPr>
          <a:xfrm>
            <a:off x="4889500" y="20091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3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日以内勤務     ドロップダウン</a:t>
            </a:r>
          </a:p>
        </xdr:txBody>
      </xdr:sp>
      <xdr:sp macro="" textlink="">
        <xdr:nvSpPr>
          <xdr:cNvPr id="155" name="C_在籍情報ALL DEV_34">
            <a:extLst>
              <a:ext uri="{FF2B5EF4-FFF2-40B4-BE49-F238E27FC236}">
                <a16:creationId xmlns:a16="http://schemas.microsoft.com/office/drawing/2014/main" id="{410F6D80-F1B0-4DD1-8D74-58C41FD4AA96}"/>
              </a:ext>
            </a:extLst>
          </xdr:cNvPr>
          <xdr:cNvSpPr txBox="1"/>
        </xdr:nvSpPr>
        <xdr:spPr>
          <a:xfrm>
            <a:off x="4889500" y="20307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Indeed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取扱フラグ  ドロップダウン</a:t>
            </a:r>
          </a:p>
        </xdr:txBody>
      </xdr:sp>
      <xdr:sp macro="" textlink="">
        <xdr:nvSpPr>
          <xdr:cNvPr id="156" name="C_在籍情報ALL DEV_35">
            <a:extLst>
              <a:ext uri="{FF2B5EF4-FFF2-40B4-BE49-F238E27FC236}">
                <a16:creationId xmlns:a16="http://schemas.microsoft.com/office/drawing/2014/main" id="{9F08F5A6-4456-4108-A83C-406FA99362D0}"/>
              </a:ext>
            </a:extLst>
          </xdr:cNvPr>
          <xdr:cNvSpPr txBox="1"/>
        </xdr:nvSpPr>
        <xdr:spPr>
          <a:xfrm>
            <a:off x="4889500" y="20523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同意チェック      チェックボックス</a:t>
            </a:r>
          </a:p>
        </xdr:txBody>
      </xdr:sp>
      <xdr:sp macro="" textlink="">
        <xdr:nvSpPr>
          <xdr:cNvPr id="157" name="C_在籍情報ALL DEV_36">
            <a:extLst>
              <a:ext uri="{FF2B5EF4-FFF2-40B4-BE49-F238E27FC236}">
                <a16:creationId xmlns:a16="http://schemas.microsoft.com/office/drawing/2014/main" id="{D8EB9B3E-F0F9-47A0-A391-803234D6E3C6}"/>
              </a:ext>
            </a:extLst>
          </xdr:cNvPr>
          <xdr:cNvSpPr txBox="1"/>
        </xdr:nvSpPr>
        <xdr:spPr>
          <a:xfrm>
            <a:off x="4889500" y="20739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非表示項目        グループ</a:t>
            </a:r>
          </a:p>
        </xdr:txBody>
      </xdr:sp>
      <xdr:sp macro="" textlink="">
        <xdr:nvSpPr>
          <xdr:cNvPr id="158" name="C_在籍情報ALL DEV_37">
            <a:extLst>
              <a:ext uri="{FF2B5EF4-FFF2-40B4-BE49-F238E27FC236}">
                <a16:creationId xmlns:a16="http://schemas.microsoft.com/office/drawing/2014/main" id="{12270B78-CDE4-410C-BBBC-63ABB65A7282}"/>
              </a:ext>
            </a:extLst>
          </xdr:cNvPr>
          <xdr:cNvSpPr txBox="1"/>
        </xdr:nvSpPr>
        <xdr:spPr>
          <a:xfrm>
            <a:off x="4889500" y="20955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最終更新日時      更新日時</a:t>
            </a:r>
          </a:p>
        </xdr:txBody>
      </xdr:sp>
      <xdr:sp macro="" textlink="">
        <xdr:nvSpPr>
          <xdr:cNvPr id="159" name="C_在籍情報ALL DEV_38">
            <a:extLst>
              <a:ext uri="{FF2B5EF4-FFF2-40B4-BE49-F238E27FC236}">
                <a16:creationId xmlns:a16="http://schemas.microsoft.com/office/drawing/2014/main" id="{94C3472E-A61C-47A7-97B0-FAAC0725D32F}"/>
              </a:ext>
            </a:extLst>
          </xdr:cNvPr>
          <xdr:cNvSpPr txBox="1"/>
        </xdr:nvSpPr>
        <xdr:spPr>
          <a:xfrm>
            <a:off x="4889500" y="21170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  組織選択</a:t>
            </a:r>
          </a:p>
        </xdr:txBody>
      </xdr:sp>
      <xdr:sp macro="" textlink="">
        <xdr:nvSpPr>
          <xdr:cNvPr id="160" name="C_在籍情報ALL DEV_39">
            <a:extLst>
              <a:ext uri="{FF2B5EF4-FFF2-40B4-BE49-F238E27FC236}">
                <a16:creationId xmlns:a16="http://schemas.microsoft.com/office/drawing/2014/main" id="{46A562A8-7921-433B-83C3-6FB54F3F918B}"/>
              </a:ext>
            </a:extLst>
          </xdr:cNvPr>
          <xdr:cNvSpPr txBox="1"/>
        </xdr:nvSpPr>
        <xdr:spPr>
          <a:xfrm>
            <a:off x="4889500" y="21386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作成者            作成者</a:t>
            </a:r>
          </a:p>
        </xdr:txBody>
      </xdr:sp>
      <xdr:sp macro="" textlink="">
        <xdr:nvSpPr>
          <xdr:cNvPr id="161" name="C_在籍情報ALL DEV_40">
            <a:extLst>
              <a:ext uri="{FF2B5EF4-FFF2-40B4-BE49-F238E27FC236}">
                <a16:creationId xmlns:a16="http://schemas.microsoft.com/office/drawing/2014/main" id="{DC2006AA-400A-4F81-80D7-A0AC9EFCAEAD}"/>
              </a:ext>
            </a:extLst>
          </xdr:cNvPr>
          <xdr:cNvSpPr txBox="1"/>
        </xdr:nvSpPr>
        <xdr:spPr>
          <a:xfrm>
            <a:off x="4889500" y="21602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作成日時          作成日時</a:t>
            </a:r>
          </a:p>
        </xdr:txBody>
      </xdr:sp>
      <xdr:sp macro="" textlink="">
        <xdr:nvSpPr>
          <xdr:cNvPr id="162" name="C_在籍情報ALL DEV_41">
            <a:extLst>
              <a:ext uri="{FF2B5EF4-FFF2-40B4-BE49-F238E27FC236}">
                <a16:creationId xmlns:a16="http://schemas.microsoft.com/office/drawing/2014/main" id="{C98C52BA-D0C4-4E2B-9DBF-72DE5D200837}"/>
              </a:ext>
            </a:extLst>
          </xdr:cNvPr>
          <xdr:cNvSpPr txBox="1"/>
        </xdr:nvSpPr>
        <xdr:spPr>
          <a:xfrm>
            <a:off x="4889500" y="21818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63" name="P_在籍情報ALL DEV">
            <a:extLst>
              <a:ext uri="{FF2B5EF4-FFF2-40B4-BE49-F238E27FC236}">
                <a16:creationId xmlns:a16="http://schemas.microsoft.com/office/drawing/2014/main" id="{0678011D-1548-417E-ADB2-B402AEF821BA}"/>
              </a:ext>
            </a:extLst>
          </xdr:cNvPr>
          <xdr:cNvCxnSpPr/>
        </xdr:nvCxnSpPr>
        <xdr:spPr>
          <a:xfrm>
            <a:off x="4826000" y="13182600"/>
            <a:ext cx="32004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20903</xdr:colOff>
      <xdr:row>5</xdr:row>
      <xdr:rowOff>133349</xdr:rowOff>
    </xdr:from>
    <xdr:to>
      <xdr:col>20</xdr:col>
      <xdr:colOff>159573</xdr:colOff>
      <xdr:row>10</xdr:row>
      <xdr:rowOff>155574</xdr:rowOff>
    </xdr:to>
    <xdr:cxnSp macro="">
      <xdr:nvCxnSpPr>
        <xdr:cNvPr id="164" name="R_在籍情報ALL DEV_試験対象 DEV">
          <a:extLst>
            <a:ext uri="{FF2B5EF4-FFF2-40B4-BE49-F238E27FC236}">
              <a16:creationId xmlns:a16="http://schemas.microsoft.com/office/drawing/2014/main" id="{70952757-C4C3-486C-BCAB-32F66BDF1E88}"/>
            </a:ext>
          </a:extLst>
        </xdr:cNvPr>
        <xdr:cNvCxnSpPr>
          <a:stCxn id="121" idx="1"/>
          <a:endCxn id="5" idx="1"/>
        </xdr:cNvCxnSpPr>
      </xdr:nvCxnSpPr>
      <xdr:spPr>
        <a:xfrm rot="10800000" flipH="1" flipV="1">
          <a:off x="592403" y="1257299"/>
          <a:ext cx="3377170" cy="974725"/>
        </a:xfrm>
        <a:prstGeom prst="bentConnector3">
          <a:avLst>
            <a:gd name="adj1" fmla="val -6769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20903</xdr:colOff>
      <xdr:row>5</xdr:row>
      <xdr:rowOff>133350</xdr:rowOff>
    </xdr:from>
    <xdr:to>
      <xdr:col>33</xdr:col>
      <xdr:colOff>141503</xdr:colOff>
      <xdr:row>16</xdr:row>
      <xdr:rowOff>69850</xdr:rowOff>
    </xdr:to>
    <xdr:cxnSp macro="">
      <xdr:nvCxnSpPr>
        <xdr:cNvPr id="165" name="R_在籍情報ALL DEV_合格済試験 DEV">
          <a:extLst>
            <a:ext uri="{FF2B5EF4-FFF2-40B4-BE49-F238E27FC236}">
              <a16:creationId xmlns:a16="http://schemas.microsoft.com/office/drawing/2014/main" id="{1BA12E7B-CF17-4D31-AB5F-ADD4EDC084F0}"/>
            </a:ext>
          </a:extLst>
        </xdr:cNvPr>
        <xdr:cNvCxnSpPr>
          <a:stCxn id="121" idx="1"/>
          <a:endCxn id="25" idx="1"/>
        </xdr:cNvCxnSpPr>
      </xdr:nvCxnSpPr>
      <xdr:spPr>
        <a:xfrm rot="10800000" flipH="1" flipV="1">
          <a:off x="592403" y="1257300"/>
          <a:ext cx="5835600" cy="2032000"/>
        </a:xfrm>
        <a:prstGeom prst="bentConnector3">
          <a:avLst>
            <a:gd name="adj1" fmla="val -3917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20903</xdr:colOff>
      <xdr:row>5</xdr:row>
      <xdr:rowOff>133349</xdr:rowOff>
    </xdr:from>
    <xdr:to>
      <xdr:col>46</xdr:col>
      <xdr:colOff>185319</xdr:colOff>
      <xdr:row>22</xdr:row>
      <xdr:rowOff>9524</xdr:rowOff>
    </xdr:to>
    <xdr:cxnSp macro="">
      <xdr:nvCxnSpPr>
        <xdr:cNvPr id="166" name="R_在籍情報ALL DE_1168_験ﾊﾟｽﾜｰﾄﾞ DEV">
          <a:extLst>
            <a:ext uri="{FF2B5EF4-FFF2-40B4-BE49-F238E27FC236}">
              <a16:creationId xmlns:a16="http://schemas.microsoft.com/office/drawing/2014/main" id="{2F87F55F-3543-4E4D-9123-679B9C963054}"/>
            </a:ext>
          </a:extLst>
        </xdr:cNvPr>
        <xdr:cNvCxnSpPr>
          <a:cxnSpLocks/>
          <a:stCxn id="121" idx="1"/>
          <a:endCxn id="99" idx="1"/>
        </xdr:cNvCxnSpPr>
      </xdr:nvCxnSpPr>
      <xdr:spPr>
        <a:xfrm rot="10800000" flipH="1" flipV="1">
          <a:off x="592403" y="1257299"/>
          <a:ext cx="8355916" cy="3114675"/>
        </a:xfrm>
        <a:prstGeom prst="bentConnector3">
          <a:avLst>
            <a:gd name="adj1" fmla="val -2736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</xdr:row>
      <xdr:rowOff>0</xdr:rowOff>
    </xdr:from>
    <xdr:to>
      <xdr:col>28</xdr:col>
      <xdr:colOff>57151</xdr:colOff>
      <xdr:row>22</xdr:row>
      <xdr:rowOff>151210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8BA796-6195-8CB5-B3A9-CBC4B928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1" y="1181100"/>
          <a:ext cx="5010150" cy="281821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25</xdr:row>
      <xdr:rowOff>1</xdr:rowOff>
    </xdr:from>
    <xdr:to>
      <xdr:col>16</xdr:col>
      <xdr:colOff>104775</xdr:colOff>
      <xdr:row>30</xdr:row>
      <xdr:rowOff>180489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D6CC39A-22A4-36C8-1033-C5EF2B47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229101"/>
          <a:ext cx="2771775" cy="11329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33"/>
  <sheetViews>
    <sheetView showGridLines="0" tabSelected="1" view="pageBreakPreview" zoomScaleNormal="115" zoomScaleSheetLayoutView="100" workbookViewId="0">
      <selection sqref="A1:AR1"/>
    </sheetView>
  </sheetViews>
  <sheetFormatPr defaultColWidth="2.5" defaultRowHeight="15"/>
  <cols>
    <col min="1" max="1" width="3.25" style="2" bestFit="1" customWidth="1"/>
    <col min="2" max="45" width="2.5" style="2"/>
    <col min="46" max="46" width="2.5" style="2" customWidth="1"/>
    <col min="47" max="47" width="2.125" style="2" customWidth="1"/>
    <col min="48" max="16384" width="2.5" style="2"/>
  </cols>
  <sheetData>
    <row r="1" spans="1:52" ht="15" customHeight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0"/>
      <c r="AT1" s="10"/>
      <c r="AU1" s="10"/>
      <c r="AV1" s="10"/>
      <c r="AW1" s="10"/>
      <c r="AX1" s="10"/>
      <c r="AY1" s="10"/>
      <c r="AZ1" s="10"/>
    </row>
    <row r="2" spans="1:52" ht="15" customHeight="1">
      <c r="A2" s="127" t="s">
        <v>18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0"/>
      <c r="AT2" s="89" t="str">
        <f>HYPERLINK("#"&amp;AU2&amp;"!A1",(ROW()-1)&amp;". ")</f>
        <v xml:space="preserve">1. </v>
      </c>
      <c r="AU2" s="10" t="s">
        <v>235</v>
      </c>
      <c r="AV2" s="10"/>
      <c r="AW2" s="10"/>
      <c r="AX2" s="10"/>
      <c r="AY2" s="10"/>
      <c r="AZ2" s="10"/>
    </row>
    <row r="3" spans="1:52" ht="1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0"/>
      <c r="AT3" s="89" t="str">
        <f t="shared" ref="AT3:AT8" si="0">HYPERLINK("#"&amp;AU3&amp;"!A1",(ROW()-1)&amp;". ")</f>
        <v xml:space="preserve">2. </v>
      </c>
      <c r="AU3" s="10" t="s">
        <v>236</v>
      </c>
      <c r="AV3" s="10"/>
      <c r="AW3" s="10"/>
      <c r="AX3" s="10"/>
      <c r="AY3" s="10"/>
      <c r="AZ3" s="10"/>
    </row>
    <row r="4" spans="1:52" ht="15" customHeight="1">
      <c r="A4" s="128" t="str" cm="1">
        <f t="array" aca="1" ref="A4" ca="1">MID(CELL("filename",A1),FIND("[",CELL("filename",A1))+5,FIND("]",CELL("filename",A1))-FIND("[",CELL("filename",A1))-10)</f>
        <v>案件アラートチェック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0"/>
      <c r="AT4" s="89" t="str">
        <f t="shared" si="0"/>
        <v xml:space="preserve">3. </v>
      </c>
      <c r="AU4" s="10" t="s">
        <v>237</v>
      </c>
      <c r="AV4" s="10"/>
      <c r="AW4" s="10"/>
      <c r="AX4" s="10"/>
      <c r="AY4" s="10"/>
      <c r="AZ4" s="10"/>
    </row>
    <row r="5" spans="1:52" ht="15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0"/>
      <c r="AT5" s="89" t="str">
        <f t="shared" si="0"/>
        <v xml:space="preserve">4. </v>
      </c>
      <c r="AU5" s="10" t="s">
        <v>238</v>
      </c>
      <c r="AV5" s="10"/>
      <c r="AW5" s="10"/>
      <c r="AX5" s="10"/>
      <c r="AY5" s="10"/>
      <c r="AZ5" s="10"/>
    </row>
    <row r="6" spans="1:52" ht="15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0"/>
      <c r="AT6" s="89" t="str">
        <f t="shared" si="0"/>
        <v xml:space="preserve">5. </v>
      </c>
      <c r="AU6" s="10" t="s">
        <v>239</v>
      </c>
      <c r="AV6" s="10"/>
      <c r="AW6" s="10"/>
      <c r="AX6" s="10"/>
      <c r="AY6" s="10"/>
      <c r="AZ6" s="10"/>
    </row>
    <row r="7" spans="1:52" ht="15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0"/>
      <c r="AT7" s="89" t="str">
        <f t="shared" si="0"/>
        <v xml:space="preserve">6. </v>
      </c>
      <c r="AU7" s="10" t="s">
        <v>240</v>
      </c>
      <c r="AV7" s="10"/>
      <c r="AW7" s="10"/>
      <c r="AX7" s="10"/>
      <c r="AY7" s="10"/>
      <c r="AZ7" s="10"/>
    </row>
    <row r="8" spans="1:52" ht="15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0"/>
      <c r="AT8" s="89" t="str">
        <f t="shared" si="0"/>
        <v xml:space="preserve">7. </v>
      </c>
      <c r="AU8" s="10" t="s">
        <v>241</v>
      </c>
      <c r="AV8" s="10"/>
      <c r="AW8" s="10"/>
      <c r="AX8" s="10"/>
      <c r="AY8" s="10"/>
      <c r="AZ8" s="10"/>
    </row>
    <row r="9" spans="1:52" ht="15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0"/>
      <c r="AT9" s="89"/>
      <c r="AU9" s="10"/>
      <c r="AV9" s="10"/>
      <c r="AW9" s="10"/>
      <c r="AX9" s="10"/>
      <c r="AY9" s="10"/>
      <c r="AZ9" s="10"/>
    </row>
    <row r="10" spans="1:52" ht="15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0"/>
      <c r="AT10" s="89"/>
      <c r="AU10" s="10"/>
      <c r="AV10" s="10"/>
      <c r="AW10" s="10"/>
      <c r="AX10" s="10"/>
      <c r="AY10" s="10"/>
      <c r="AZ10" s="10"/>
    </row>
    <row r="11" spans="1:52" ht="15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0"/>
      <c r="AT11" s="89"/>
      <c r="AU11" s="10"/>
      <c r="AV11" s="10"/>
      <c r="AW11" s="10"/>
      <c r="AX11" s="10"/>
      <c r="AY11" s="10"/>
      <c r="AZ11" s="10"/>
    </row>
    <row r="12" spans="1:52" ht="15" customHeight="1">
      <c r="A12" s="129" t="s">
        <v>19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0"/>
      <c r="AT12" s="89"/>
      <c r="AU12" s="10"/>
      <c r="AV12" s="10"/>
      <c r="AW12" s="10"/>
      <c r="AX12" s="10"/>
      <c r="AY12" s="10"/>
      <c r="AZ12" s="10"/>
    </row>
    <row r="13" spans="1:52" ht="1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0"/>
      <c r="AT13" s="89"/>
      <c r="AU13" s="10"/>
      <c r="AV13" s="10"/>
      <c r="AW13" s="10"/>
      <c r="AX13" s="10"/>
      <c r="AY13" s="10"/>
      <c r="AZ13" s="10"/>
    </row>
    <row r="14" spans="1:52" ht="15" customHeight="1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0"/>
      <c r="AT14" s="89"/>
      <c r="AU14" s="10"/>
      <c r="AV14" s="10"/>
      <c r="AW14" s="10"/>
      <c r="AX14" s="10"/>
      <c r="AY14" s="10"/>
      <c r="AZ14" s="10"/>
    </row>
    <row r="15" spans="1:52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10"/>
      <c r="AT15" s="38"/>
      <c r="AU15" s="46"/>
      <c r="AV15" s="46"/>
      <c r="AW15" s="46"/>
      <c r="AX15" s="46"/>
      <c r="AY15" s="46"/>
      <c r="AZ15" s="10"/>
    </row>
    <row r="16" spans="1:52" s="1" customFormat="1" ht="28.5">
      <c r="A16" s="131" t="str">
        <f ca="1">RIGHT(CELL("filename",A1),LEN(CELL("filename",A1))-FIND("]",CELL("filename",A1)))</f>
        <v>改訂履歴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</row>
    <row r="17" spans="1:51" s="1" customFormat="1"/>
    <row r="18" spans="1:51" s="1" customFormat="1" ht="16.5" customHeight="1">
      <c r="A18" s="117" t="s">
        <v>20</v>
      </c>
      <c r="B18" s="118"/>
      <c r="C18" s="118"/>
      <c r="D18" s="118"/>
      <c r="E18" s="119"/>
      <c r="F18" s="120" t="str">
        <f ca="1">INDIRECT("K"&amp;COUNTA(K:K)+A19)</f>
        <v>1.0.0</v>
      </c>
      <c r="G18" s="121"/>
      <c r="H18" s="121"/>
      <c r="I18" s="121"/>
      <c r="J18" s="122"/>
    </row>
    <row r="19" spans="1:51" s="1" customFormat="1">
      <c r="A19" s="7">
        <f>ROW()</f>
        <v>19</v>
      </c>
    </row>
    <row r="20" spans="1:51">
      <c r="A20" s="123" t="s">
        <v>4</v>
      </c>
      <c r="B20" s="123"/>
      <c r="C20" s="123"/>
      <c r="D20" s="123"/>
      <c r="E20" s="123"/>
      <c r="F20" s="123" t="s">
        <v>5</v>
      </c>
      <c r="G20" s="123"/>
      <c r="H20" s="123"/>
      <c r="I20" s="123"/>
      <c r="J20" s="123"/>
      <c r="K20" s="123" t="s">
        <v>21</v>
      </c>
      <c r="L20" s="123"/>
      <c r="M20" s="123"/>
      <c r="N20" s="123"/>
      <c r="O20" s="124" t="s">
        <v>6</v>
      </c>
      <c r="P20" s="125"/>
      <c r="Q20" s="125"/>
      <c r="R20" s="125"/>
      <c r="S20" s="125"/>
      <c r="T20" s="125"/>
      <c r="U20" s="125"/>
      <c r="V20" s="126"/>
      <c r="W20" s="124" t="s">
        <v>7</v>
      </c>
      <c r="X20" s="125"/>
      <c r="Y20" s="125"/>
      <c r="Z20" s="125"/>
      <c r="AA20" s="125"/>
      <c r="AB20" s="125"/>
      <c r="AC20" s="125"/>
      <c r="AD20" s="125"/>
      <c r="AE20" s="126"/>
      <c r="AF20" s="124" t="s">
        <v>8</v>
      </c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</row>
    <row r="21" spans="1:51" ht="16.5" customHeight="1">
      <c r="A21" s="114">
        <v>46150</v>
      </c>
      <c r="B21" s="114"/>
      <c r="C21" s="114"/>
      <c r="D21" s="114"/>
      <c r="E21" s="114"/>
      <c r="F21" s="115" t="s">
        <v>352</v>
      </c>
      <c r="G21" s="115"/>
      <c r="H21" s="115"/>
      <c r="I21" s="115"/>
      <c r="J21" s="115"/>
      <c r="K21" s="116" t="s">
        <v>353</v>
      </c>
      <c r="L21" s="116"/>
      <c r="M21" s="116"/>
      <c r="N21" s="116"/>
      <c r="O21" s="111" t="s">
        <v>354</v>
      </c>
      <c r="P21" s="112"/>
      <c r="Q21" s="112"/>
      <c r="R21" s="112"/>
      <c r="S21" s="112"/>
      <c r="T21" s="112"/>
      <c r="U21" s="112"/>
      <c r="V21" s="113"/>
      <c r="W21" s="111" t="s">
        <v>346</v>
      </c>
      <c r="X21" s="112"/>
      <c r="Y21" s="112"/>
      <c r="Z21" s="112"/>
      <c r="AA21" s="112"/>
      <c r="AB21" s="112"/>
      <c r="AC21" s="112"/>
      <c r="AD21" s="112"/>
      <c r="AE21" s="113"/>
      <c r="AF21" s="111" t="s">
        <v>355</v>
      </c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3"/>
    </row>
    <row r="22" spans="1:51" ht="16.5" customHeight="1">
      <c r="A22" s="114"/>
      <c r="B22" s="114"/>
      <c r="C22" s="114"/>
      <c r="D22" s="114"/>
      <c r="E22" s="114"/>
      <c r="F22" s="115"/>
      <c r="G22" s="115"/>
      <c r="H22" s="115"/>
      <c r="I22" s="115"/>
      <c r="J22" s="115"/>
      <c r="K22" s="116"/>
      <c r="L22" s="116"/>
      <c r="M22" s="116"/>
      <c r="N22" s="116"/>
      <c r="O22" s="111"/>
      <c r="P22" s="112"/>
      <c r="Q22" s="112"/>
      <c r="R22" s="112"/>
      <c r="S22" s="112"/>
      <c r="T22" s="112"/>
      <c r="U22" s="112"/>
      <c r="V22" s="113"/>
      <c r="W22" s="111"/>
      <c r="X22" s="112"/>
      <c r="Y22" s="112"/>
      <c r="Z22" s="112"/>
      <c r="AA22" s="112"/>
      <c r="AB22" s="112"/>
      <c r="AC22" s="112"/>
      <c r="AD22" s="112"/>
      <c r="AE22" s="113"/>
      <c r="AF22" s="111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3"/>
    </row>
    <row r="23" spans="1:51">
      <c r="A23" s="114"/>
      <c r="B23" s="114"/>
      <c r="C23" s="114"/>
      <c r="D23" s="114"/>
      <c r="E23" s="114"/>
      <c r="F23" s="115"/>
      <c r="G23" s="115"/>
      <c r="H23" s="115"/>
      <c r="I23" s="115"/>
      <c r="J23" s="115"/>
      <c r="K23" s="116"/>
      <c r="L23" s="116"/>
      <c r="M23" s="116"/>
      <c r="N23" s="116"/>
      <c r="O23" s="111"/>
      <c r="P23" s="112"/>
      <c r="Q23" s="112"/>
      <c r="R23" s="112"/>
      <c r="S23" s="112"/>
      <c r="T23" s="112"/>
      <c r="U23" s="112"/>
      <c r="V23" s="113"/>
      <c r="W23" s="111"/>
      <c r="X23" s="112"/>
      <c r="Y23" s="112"/>
      <c r="Z23" s="112"/>
      <c r="AA23" s="112"/>
      <c r="AB23" s="112"/>
      <c r="AC23" s="112"/>
      <c r="AD23" s="112"/>
      <c r="AE23" s="113"/>
      <c r="AF23" s="111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3"/>
    </row>
    <row r="24" spans="1:51">
      <c r="A24" s="114"/>
      <c r="B24" s="114"/>
      <c r="C24" s="114"/>
      <c r="D24" s="114"/>
      <c r="E24" s="114"/>
      <c r="F24" s="115"/>
      <c r="G24" s="115"/>
      <c r="H24" s="115"/>
      <c r="I24" s="115"/>
      <c r="J24" s="115"/>
      <c r="K24" s="116"/>
      <c r="L24" s="116"/>
      <c r="M24" s="116"/>
      <c r="N24" s="116"/>
      <c r="O24" s="111"/>
      <c r="P24" s="112"/>
      <c r="Q24" s="112"/>
      <c r="R24" s="112"/>
      <c r="S24" s="112"/>
      <c r="T24" s="112"/>
      <c r="U24" s="112"/>
      <c r="V24" s="113"/>
      <c r="W24" s="111"/>
      <c r="X24" s="112"/>
      <c r="Y24" s="112"/>
      <c r="Z24" s="112"/>
      <c r="AA24" s="112"/>
      <c r="AB24" s="112"/>
      <c r="AC24" s="112"/>
      <c r="AD24" s="112"/>
      <c r="AE24" s="113"/>
      <c r="AF24" s="111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3"/>
    </row>
    <row r="25" spans="1:51">
      <c r="A25" s="114"/>
      <c r="B25" s="114"/>
      <c r="C25" s="114"/>
      <c r="D25" s="114"/>
      <c r="E25" s="114"/>
      <c r="F25" s="115"/>
      <c r="G25" s="115"/>
      <c r="H25" s="115"/>
      <c r="I25" s="115"/>
      <c r="J25" s="115"/>
      <c r="K25" s="116"/>
      <c r="L25" s="116"/>
      <c r="M25" s="116"/>
      <c r="N25" s="116"/>
      <c r="O25" s="111"/>
      <c r="P25" s="112"/>
      <c r="Q25" s="112"/>
      <c r="R25" s="112"/>
      <c r="S25" s="112"/>
      <c r="T25" s="112"/>
      <c r="U25" s="112"/>
      <c r="V25" s="113"/>
      <c r="W25" s="111"/>
      <c r="X25" s="112"/>
      <c r="Y25" s="112"/>
      <c r="Z25" s="112"/>
      <c r="AA25" s="112"/>
      <c r="AB25" s="112"/>
      <c r="AC25" s="112"/>
      <c r="AD25" s="112"/>
      <c r="AE25" s="113"/>
      <c r="AF25" s="111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3"/>
    </row>
    <row r="26" spans="1:51">
      <c r="A26" s="114"/>
      <c r="B26" s="114"/>
      <c r="C26" s="114"/>
      <c r="D26" s="114"/>
      <c r="E26" s="114"/>
      <c r="F26" s="115"/>
      <c r="G26" s="115"/>
      <c r="H26" s="115"/>
      <c r="I26" s="115"/>
      <c r="J26" s="115"/>
      <c r="K26" s="116"/>
      <c r="L26" s="116"/>
      <c r="M26" s="116"/>
      <c r="N26" s="116"/>
      <c r="O26" s="111"/>
      <c r="P26" s="112"/>
      <c r="Q26" s="112"/>
      <c r="R26" s="112"/>
      <c r="S26" s="112"/>
      <c r="T26" s="112"/>
      <c r="U26" s="112"/>
      <c r="V26" s="113"/>
      <c r="W26" s="111"/>
      <c r="X26" s="112"/>
      <c r="Y26" s="112"/>
      <c r="Z26" s="112"/>
      <c r="AA26" s="112"/>
      <c r="AB26" s="112"/>
      <c r="AC26" s="112"/>
      <c r="AD26" s="112"/>
      <c r="AE26" s="113"/>
      <c r="AF26" s="111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3"/>
    </row>
    <row r="27" spans="1:51">
      <c r="A27" s="114"/>
      <c r="B27" s="114"/>
      <c r="C27" s="114"/>
      <c r="D27" s="114"/>
      <c r="E27" s="114"/>
      <c r="F27" s="115"/>
      <c r="G27" s="115"/>
      <c r="H27" s="115"/>
      <c r="I27" s="115"/>
      <c r="J27" s="115"/>
      <c r="K27" s="116"/>
      <c r="L27" s="116"/>
      <c r="M27" s="116"/>
      <c r="N27" s="116"/>
      <c r="O27" s="111"/>
      <c r="P27" s="112"/>
      <c r="Q27" s="112"/>
      <c r="R27" s="112"/>
      <c r="S27" s="112"/>
      <c r="T27" s="112"/>
      <c r="U27" s="112"/>
      <c r="V27" s="113"/>
      <c r="W27" s="111"/>
      <c r="X27" s="112"/>
      <c r="Y27" s="112"/>
      <c r="Z27" s="112"/>
      <c r="AA27" s="112"/>
      <c r="AB27" s="112"/>
      <c r="AC27" s="112"/>
      <c r="AD27" s="112"/>
      <c r="AE27" s="113"/>
      <c r="AF27" s="111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3"/>
    </row>
    <row r="28" spans="1:51">
      <c r="A28" s="114"/>
      <c r="B28" s="114"/>
      <c r="C28" s="114"/>
      <c r="D28" s="114"/>
      <c r="E28" s="114"/>
      <c r="F28" s="115"/>
      <c r="G28" s="115"/>
      <c r="H28" s="115"/>
      <c r="I28" s="115"/>
      <c r="J28" s="115"/>
      <c r="K28" s="116"/>
      <c r="L28" s="116"/>
      <c r="M28" s="116"/>
      <c r="N28" s="116"/>
      <c r="O28" s="111"/>
      <c r="P28" s="112"/>
      <c r="Q28" s="112"/>
      <c r="R28" s="112"/>
      <c r="S28" s="112"/>
      <c r="T28" s="112"/>
      <c r="U28" s="112"/>
      <c r="V28" s="113"/>
      <c r="W28" s="111"/>
      <c r="X28" s="112"/>
      <c r="Y28" s="112"/>
      <c r="Z28" s="112"/>
      <c r="AA28" s="112"/>
      <c r="AB28" s="112"/>
      <c r="AC28" s="112"/>
      <c r="AD28" s="112"/>
      <c r="AE28" s="113"/>
      <c r="AF28" s="111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3"/>
    </row>
    <row r="29" spans="1:51">
      <c r="A29" s="114"/>
      <c r="B29" s="114"/>
      <c r="C29" s="114"/>
      <c r="D29" s="114"/>
      <c r="E29" s="114"/>
      <c r="F29" s="115"/>
      <c r="G29" s="115"/>
      <c r="H29" s="115"/>
      <c r="I29" s="115"/>
      <c r="J29" s="115"/>
      <c r="K29" s="116"/>
      <c r="L29" s="116"/>
      <c r="M29" s="116"/>
      <c r="N29" s="116"/>
      <c r="O29" s="111"/>
      <c r="P29" s="112"/>
      <c r="Q29" s="112"/>
      <c r="R29" s="112"/>
      <c r="S29" s="112"/>
      <c r="T29" s="112"/>
      <c r="U29" s="112"/>
      <c r="V29" s="113"/>
      <c r="W29" s="111"/>
      <c r="X29" s="112"/>
      <c r="Y29" s="112"/>
      <c r="Z29" s="112"/>
      <c r="AA29" s="112"/>
      <c r="AB29" s="112"/>
      <c r="AC29" s="112"/>
      <c r="AD29" s="112"/>
      <c r="AE29" s="113"/>
      <c r="AF29" s="111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3"/>
    </row>
    <row r="30" spans="1:51">
      <c r="A30" s="114"/>
      <c r="B30" s="114"/>
      <c r="C30" s="114"/>
      <c r="D30" s="114"/>
      <c r="E30" s="114"/>
      <c r="F30" s="115"/>
      <c r="G30" s="115"/>
      <c r="H30" s="115"/>
      <c r="I30" s="115"/>
      <c r="J30" s="115"/>
      <c r="K30" s="116"/>
      <c r="L30" s="116"/>
      <c r="M30" s="116"/>
      <c r="N30" s="116"/>
      <c r="O30" s="111"/>
      <c r="P30" s="112"/>
      <c r="Q30" s="112"/>
      <c r="R30" s="112"/>
      <c r="S30" s="112"/>
      <c r="T30" s="112"/>
      <c r="U30" s="112"/>
      <c r="V30" s="113"/>
      <c r="W30" s="111"/>
      <c r="X30" s="112"/>
      <c r="Y30" s="112"/>
      <c r="Z30" s="112"/>
      <c r="AA30" s="112"/>
      <c r="AB30" s="112"/>
      <c r="AC30" s="112"/>
      <c r="AD30" s="112"/>
      <c r="AE30" s="113"/>
      <c r="AF30" s="111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3"/>
    </row>
    <row r="31" spans="1:51">
      <c r="A31" s="114"/>
      <c r="B31" s="114"/>
      <c r="C31" s="114"/>
      <c r="D31" s="114"/>
      <c r="E31" s="114"/>
      <c r="F31" s="115"/>
      <c r="G31" s="115"/>
      <c r="H31" s="115"/>
      <c r="I31" s="115"/>
      <c r="J31" s="115"/>
      <c r="K31" s="116"/>
      <c r="L31" s="116"/>
      <c r="M31" s="116"/>
      <c r="N31" s="116"/>
      <c r="O31" s="111"/>
      <c r="P31" s="112"/>
      <c r="Q31" s="112"/>
      <c r="R31" s="112"/>
      <c r="S31" s="112"/>
      <c r="T31" s="112"/>
      <c r="U31" s="112"/>
      <c r="V31" s="113"/>
      <c r="W31" s="111"/>
      <c r="X31" s="112"/>
      <c r="Y31" s="112"/>
      <c r="Z31" s="112"/>
      <c r="AA31" s="112"/>
      <c r="AB31" s="112"/>
      <c r="AC31" s="112"/>
      <c r="AD31" s="112"/>
      <c r="AE31" s="113"/>
      <c r="AF31" s="111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3"/>
    </row>
    <row r="32" spans="1:51">
      <c r="A32" s="114"/>
      <c r="B32" s="114"/>
      <c r="C32" s="114"/>
      <c r="D32" s="114"/>
      <c r="E32" s="114"/>
      <c r="F32" s="115"/>
      <c r="G32" s="115"/>
      <c r="H32" s="115"/>
      <c r="I32" s="115"/>
      <c r="J32" s="115"/>
      <c r="K32" s="116"/>
      <c r="L32" s="116"/>
      <c r="M32" s="116"/>
      <c r="N32" s="116"/>
      <c r="O32" s="111"/>
      <c r="P32" s="112"/>
      <c r="Q32" s="112"/>
      <c r="R32" s="112"/>
      <c r="S32" s="112"/>
      <c r="T32" s="112"/>
      <c r="U32" s="112"/>
      <c r="V32" s="113"/>
      <c r="W32" s="111"/>
      <c r="X32" s="112"/>
      <c r="Y32" s="112"/>
      <c r="Z32" s="112"/>
      <c r="AA32" s="112"/>
      <c r="AB32" s="112"/>
      <c r="AC32" s="112"/>
      <c r="AD32" s="112"/>
      <c r="AE32" s="113"/>
      <c r="AF32" s="111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3"/>
    </row>
    <row r="33" spans="1:51">
      <c r="A33" s="114"/>
      <c r="B33" s="114"/>
      <c r="C33" s="114"/>
      <c r="D33" s="114"/>
      <c r="E33" s="114"/>
      <c r="F33" s="115"/>
      <c r="G33" s="115"/>
      <c r="H33" s="115"/>
      <c r="I33" s="115"/>
      <c r="J33" s="115"/>
      <c r="K33" s="116"/>
      <c r="L33" s="116"/>
      <c r="M33" s="116"/>
      <c r="N33" s="116"/>
      <c r="O33" s="111"/>
      <c r="P33" s="112"/>
      <c r="Q33" s="112"/>
      <c r="R33" s="112"/>
      <c r="S33" s="112"/>
      <c r="T33" s="112"/>
      <c r="U33" s="112"/>
      <c r="V33" s="113"/>
      <c r="W33" s="111"/>
      <c r="X33" s="112"/>
      <c r="Y33" s="112"/>
      <c r="Z33" s="112"/>
      <c r="AA33" s="112"/>
      <c r="AB33" s="112"/>
      <c r="AC33" s="112"/>
      <c r="AD33" s="112"/>
      <c r="AE33" s="113"/>
      <c r="AF33" s="111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3"/>
    </row>
  </sheetData>
  <mergeCells count="92">
    <mergeCell ref="A16:AZ16"/>
    <mergeCell ref="A30:E30"/>
    <mergeCell ref="F30:J30"/>
    <mergeCell ref="K30:N30"/>
    <mergeCell ref="A26:E26"/>
    <mergeCell ref="F26:J26"/>
    <mergeCell ref="K26:N26"/>
    <mergeCell ref="A20:E20"/>
    <mergeCell ref="A21:E21"/>
    <mergeCell ref="A1:AR1"/>
    <mergeCell ref="A2:AR3"/>
    <mergeCell ref="A4:AR11"/>
    <mergeCell ref="A12:AR13"/>
    <mergeCell ref="A14:AR14"/>
    <mergeCell ref="W20:AE20"/>
    <mergeCell ref="W21:AE21"/>
    <mergeCell ref="W22:AE22"/>
    <mergeCell ref="AF20:AY20"/>
    <mergeCell ref="AF21:AY21"/>
    <mergeCell ref="AF22:AY22"/>
    <mergeCell ref="K20:N20"/>
    <mergeCell ref="K21:N21"/>
    <mergeCell ref="O20:V20"/>
    <mergeCell ref="O21:V21"/>
    <mergeCell ref="O22:V22"/>
    <mergeCell ref="A18:E18"/>
    <mergeCell ref="F18:J18"/>
    <mergeCell ref="A22:E22"/>
    <mergeCell ref="F20:J20"/>
    <mergeCell ref="F21:J21"/>
    <mergeCell ref="W32:AE32"/>
    <mergeCell ref="W33:AE33"/>
    <mergeCell ref="AF32:AY32"/>
    <mergeCell ref="AF33:AY33"/>
    <mergeCell ref="A28:E28"/>
    <mergeCell ref="F28:J28"/>
    <mergeCell ref="K28:N28"/>
    <mergeCell ref="A31:E31"/>
    <mergeCell ref="F31:J31"/>
    <mergeCell ref="K31:N31"/>
    <mergeCell ref="A33:E33"/>
    <mergeCell ref="F33:J33"/>
    <mergeCell ref="K33:N33"/>
    <mergeCell ref="O32:V32"/>
    <mergeCell ref="O33:V33"/>
    <mergeCell ref="F22:J22"/>
    <mergeCell ref="K22:N22"/>
    <mergeCell ref="A32:E32"/>
    <mergeCell ref="F32:J32"/>
    <mergeCell ref="K32:N32"/>
    <mergeCell ref="A27:E27"/>
    <mergeCell ref="F27:J27"/>
    <mergeCell ref="K27:N27"/>
    <mergeCell ref="A23:E23"/>
    <mergeCell ref="F23:J23"/>
    <mergeCell ref="K23:N23"/>
    <mergeCell ref="F24:J24"/>
    <mergeCell ref="K24:N24"/>
    <mergeCell ref="O28:V28"/>
    <mergeCell ref="O29:V29"/>
    <mergeCell ref="O30:V30"/>
    <mergeCell ref="O31:V31"/>
    <mergeCell ref="A24:E24"/>
    <mergeCell ref="A29:E29"/>
    <mergeCell ref="F29:J29"/>
    <mergeCell ref="K29:N29"/>
    <mergeCell ref="A25:E25"/>
    <mergeCell ref="F25:J25"/>
    <mergeCell ref="K25:N25"/>
    <mergeCell ref="O23:V23"/>
    <mergeCell ref="O24:V24"/>
    <mergeCell ref="O25:V25"/>
    <mergeCell ref="O26:V26"/>
    <mergeCell ref="O27:V27"/>
    <mergeCell ref="AF28:AY28"/>
    <mergeCell ref="AF29:AY29"/>
    <mergeCell ref="AF30:AY30"/>
    <mergeCell ref="AF31:AY31"/>
    <mergeCell ref="W23:AE23"/>
    <mergeCell ref="W24:AE24"/>
    <mergeCell ref="W25:AE25"/>
    <mergeCell ref="W26:AE26"/>
    <mergeCell ref="W27:AE27"/>
    <mergeCell ref="W28:AE28"/>
    <mergeCell ref="W29:AE29"/>
    <mergeCell ref="W30:AE30"/>
    <mergeCell ref="W31:AE31"/>
    <mergeCell ref="AF23:AY23"/>
    <mergeCell ref="AF24:AY24"/>
    <mergeCell ref="AF25:AY25"/>
    <mergeCell ref="AF26:AY26"/>
    <mergeCell ref="AF27:AY27"/>
  </mergeCells>
  <phoneticPr fontId="1"/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3"/>
  <sheetViews>
    <sheetView showGridLines="0" view="pageBreakPreview" zoomScaleNormal="100" zoomScaleSheetLayoutView="100" workbookViewId="0">
      <selection sqref="A1:AZ1"/>
    </sheetView>
  </sheetViews>
  <sheetFormatPr defaultColWidth="2.5" defaultRowHeight="18.75"/>
  <cols>
    <col min="1" max="16384" width="2.5" style="4"/>
  </cols>
  <sheetData>
    <row r="1" spans="1:52" ht="28.5" customHeight="1">
      <c r="A1" s="132" t="str">
        <f ca="1">RIGHT(CELL("filename",A1),LEN(CELL("filename",A1))-FIND("]",CELL("filename",A1)))</f>
        <v>背景・目的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</row>
    <row r="2" spans="1:52" ht="15" customHeight="1"/>
    <row r="3" spans="1:52" ht="15" customHeight="1">
      <c r="A3" s="3" t="s">
        <v>52</v>
      </c>
    </row>
    <row r="4" spans="1:52" s="2" customFormat="1" ht="15" customHeight="1"/>
    <row r="5" spans="1:52" s="2" customFormat="1" ht="15" customHeight="1">
      <c r="C5" s="2" t="s">
        <v>54</v>
      </c>
    </row>
    <row r="6" spans="1:52" s="2" customFormat="1" ht="15" customHeight="1">
      <c r="C6" s="2" t="s">
        <v>55</v>
      </c>
    </row>
    <row r="7" spans="1:52" s="2" customFormat="1" ht="15" customHeight="1"/>
    <row r="8" spans="1:52" s="2" customFormat="1" ht="15" customHeight="1"/>
    <row r="9" spans="1:52" s="2" customFormat="1" ht="15" customHeight="1"/>
    <row r="10" spans="1:52" s="2" customFormat="1" ht="15" customHeight="1"/>
    <row r="11" spans="1:52" s="2" customFormat="1" ht="15" customHeight="1"/>
    <row r="12" spans="1:52" s="2" customFormat="1" ht="15" customHeight="1"/>
    <row r="13" spans="1:52" s="2" customFormat="1" ht="15" customHeight="1"/>
    <row r="14" spans="1:52" s="2" customFormat="1" ht="15" customHeight="1"/>
    <row r="15" spans="1:52" s="2" customFormat="1" ht="15" customHeight="1"/>
    <row r="16" spans="1:52" s="2" customFormat="1" ht="15" customHeight="1"/>
    <row r="17" spans="1:52" s="2" customFormat="1" ht="15" customHeight="1"/>
    <row r="18" spans="1:52" s="2" customFormat="1" ht="15" customHeight="1"/>
    <row r="19" spans="1:52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>
      <c r="A20" s="3" t="s">
        <v>53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>
      <c r="A22" s="2"/>
      <c r="B22" s="2"/>
      <c r="C22" s="2" t="s">
        <v>56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>
      <c r="A23" s="2"/>
      <c r="B23" s="2"/>
      <c r="C23" s="2" t="s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>
      <c r="A24" s="2"/>
      <c r="B24" s="2"/>
      <c r="C24" s="2" t="s">
        <v>58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</sheetData>
  <mergeCells count="1">
    <mergeCell ref="A1:AZ1"/>
  </mergeCells>
  <phoneticPr fontId="1"/>
  <pageMargins left="0.7" right="0.7" top="0.75" bottom="0.75" header="0.3" footer="0.3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49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31" width="2.5" style="1"/>
    <col min="32" max="32" width="6.375" style="1" bestFit="1" customWidth="1"/>
    <col min="33" max="16384" width="2.5" style="1"/>
  </cols>
  <sheetData>
    <row r="1" spans="1:57" ht="28.5">
      <c r="A1" s="136" t="str">
        <f ca="1">RIGHT(CELL("filename",A1),LEN(CELL("filename",A1))-FIND("]",CELL("filename",A1)))</f>
        <v>ツール概要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</row>
    <row r="3" spans="1:57" ht="19.5">
      <c r="A3" s="3" t="s">
        <v>22</v>
      </c>
    </row>
    <row r="8" spans="1:57" ht="15" customHeight="1">
      <c r="V8"/>
      <c r="Y8"/>
    </row>
    <row r="15" spans="1:57" ht="15" customHeight="1">
      <c r="F15"/>
      <c r="BE15" s="4"/>
    </row>
    <row r="20" spans="1:51" ht="15" customHeight="1">
      <c r="A20" s="3" t="s">
        <v>25</v>
      </c>
    </row>
    <row r="21" spans="1:51" ht="15" customHeight="1">
      <c r="B21" s="1" t="s">
        <v>344</v>
      </c>
    </row>
    <row r="22" spans="1:51" ht="15" customHeight="1">
      <c r="B22" s="1" t="s">
        <v>343</v>
      </c>
    </row>
    <row r="24" spans="1:51" ht="19.5">
      <c r="A24" s="3" t="s">
        <v>27</v>
      </c>
    </row>
    <row r="25" spans="1:51" ht="15" customHeight="1">
      <c r="B25" s="133" t="s">
        <v>0</v>
      </c>
      <c r="C25" s="135"/>
      <c r="D25" s="133" t="s">
        <v>9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5"/>
      <c r="P25" s="133" t="s">
        <v>1</v>
      </c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5"/>
      <c r="AF25" s="133" t="s">
        <v>3</v>
      </c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5"/>
    </row>
    <row r="26" spans="1:51" ht="15" customHeight="1">
      <c r="B26" s="137">
        <v>1</v>
      </c>
      <c r="C26" s="138"/>
      <c r="D26" s="11" t="s">
        <v>349</v>
      </c>
      <c r="E26" s="12"/>
      <c r="F26" s="12"/>
      <c r="G26" s="12"/>
      <c r="H26" s="12"/>
      <c r="I26" s="12"/>
      <c r="J26" s="12"/>
      <c r="K26" s="12"/>
      <c r="L26" s="12"/>
      <c r="M26" s="12"/>
      <c r="N26" s="73"/>
      <c r="O26" s="92"/>
      <c r="P26" s="11" t="s">
        <v>28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1" ht="15" customHeight="1">
      <c r="B27" s="11"/>
      <c r="C27" s="13"/>
      <c r="D27" s="11" t="s">
        <v>59</v>
      </c>
      <c r="E27" s="12"/>
      <c r="F27" s="12"/>
      <c r="G27" s="12"/>
      <c r="H27" s="12"/>
      <c r="I27" s="12"/>
      <c r="J27" s="12"/>
      <c r="K27" s="12"/>
      <c r="L27" s="12"/>
      <c r="M27" s="12"/>
      <c r="N27" s="73"/>
      <c r="O27" s="92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9" spans="1:51" ht="19.5">
      <c r="A29" s="6" t="s">
        <v>51</v>
      </c>
      <c r="B29" s="2"/>
      <c r="C29" s="2"/>
      <c r="D29" s="2"/>
      <c r="E29" s="2"/>
      <c r="F29" s="2"/>
      <c r="G29" s="2"/>
      <c r="H29" s="2"/>
      <c r="I29" s="2"/>
      <c r="J29" s="2"/>
    </row>
    <row r="30" spans="1:51" ht="15" customHeight="1">
      <c r="A30" s="2"/>
      <c r="B30" s="133" t="s">
        <v>205</v>
      </c>
      <c r="C30" s="134"/>
      <c r="D30" s="134"/>
      <c r="E30" s="134"/>
      <c r="F30" s="134"/>
      <c r="G30" s="134"/>
      <c r="H30" s="135"/>
      <c r="I30" s="133" t="s">
        <v>206</v>
      </c>
      <c r="J30" s="134"/>
      <c r="K30" s="134"/>
      <c r="L30" s="134"/>
      <c r="M30" s="135"/>
      <c r="N30" s="133" t="s">
        <v>208</v>
      </c>
      <c r="O30" s="134"/>
      <c r="P30" s="134"/>
      <c r="Q30" s="134"/>
      <c r="R30" s="134"/>
      <c r="S30" s="134"/>
      <c r="T30" s="134"/>
      <c r="U30" s="134"/>
      <c r="V30" s="134"/>
      <c r="W30" s="135"/>
      <c r="X30" s="133" t="s">
        <v>3</v>
      </c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5"/>
    </row>
    <row r="31" spans="1:51" ht="15" customHeight="1">
      <c r="A31" s="2"/>
      <c r="B31" s="31" t="s">
        <v>210</v>
      </c>
      <c r="C31" s="19"/>
      <c r="D31" s="19"/>
      <c r="E31" s="19"/>
      <c r="F31" s="19"/>
      <c r="G31" s="19"/>
      <c r="H31" s="20"/>
      <c r="I31" s="31" t="s">
        <v>207</v>
      </c>
      <c r="J31" s="19"/>
      <c r="K31" s="19"/>
      <c r="L31" s="19"/>
      <c r="M31" s="20"/>
      <c r="N31" s="87" t="s">
        <v>348</v>
      </c>
      <c r="O31" s="19"/>
      <c r="P31" s="19"/>
      <c r="Q31" s="19"/>
      <c r="R31" s="19"/>
      <c r="S31" s="19"/>
      <c r="T31" s="19"/>
      <c r="U31" s="19"/>
      <c r="V31" s="19"/>
      <c r="W31" s="20"/>
      <c r="X31" s="110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73"/>
      <c r="AS31" s="73"/>
      <c r="AT31" s="73"/>
      <c r="AU31" s="73"/>
      <c r="AV31" s="73"/>
      <c r="AW31" s="73"/>
      <c r="AX31" s="73"/>
      <c r="AY31" s="92"/>
    </row>
    <row r="32" spans="1:51" ht="15" customHeight="1">
      <c r="A32" s="2"/>
      <c r="B32" s="11" t="s">
        <v>345</v>
      </c>
      <c r="C32" s="12"/>
      <c r="D32" s="12"/>
      <c r="E32" s="12"/>
      <c r="F32" s="12"/>
      <c r="G32" s="12"/>
      <c r="H32" s="13"/>
      <c r="I32" s="11" t="s">
        <v>207</v>
      </c>
      <c r="J32" s="12"/>
      <c r="K32" s="12"/>
      <c r="L32" s="12"/>
      <c r="M32" s="13"/>
      <c r="N32" s="91" t="s">
        <v>228</v>
      </c>
      <c r="O32" s="12"/>
      <c r="P32" s="12"/>
      <c r="Q32" s="12"/>
      <c r="R32" s="12"/>
      <c r="S32" s="12"/>
      <c r="T32" s="12"/>
      <c r="U32" s="12"/>
      <c r="V32" s="12"/>
      <c r="W32" s="13"/>
      <c r="X32" s="110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73"/>
      <c r="AS32" s="73"/>
      <c r="AT32" s="73"/>
      <c r="AU32" s="73"/>
      <c r="AV32" s="73"/>
      <c r="AW32" s="73"/>
      <c r="AX32" s="73"/>
      <c r="AY32" s="92"/>
    </row>
    <row r="33" spans="1:51" ht="1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2"/>
      <c r="W33" s="8"/>
      <c r="X33" s="8"/>
      <c r="Y33" s="8"/>
      <c r="Z33" s="8"/>
      <c r="AA33" s="8"/>
      <c r="AB33" s="8"/>
      <c r="AC33" s="8"/>
      <c r="AD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ht="15" customHeight="1">
      <c r="B34" s="59" t="s">
        <v>231</v>
      </c>
    </row>
    <row r="35" spans="1:51" ht="15" customHeight="1">
      <c r="B35" s="70" t="s">
        <v>217</v>
      </c>
      <c r="C35" s="60"/>
      <c r="D35" s="60"/>
      <c r="E35" s="60"/>
      <c r="F35" s="60"/>
      <c r="G35" s="60"/>
      <c r="H35" s="71"/>
      <c r="I35" s="70" t="s">
        <v>224</v>
      </c>
      <c r="J35" s="60"/>
      <c r="K35" s="60"/>
      <c r="L35" s="60"/>
      <c r="M35" s="60"/>
      <c r="N35" s="60"/>
      <c r="O35" s="77" t="s">
        <v>69</v>
      </c>
      <c r="P35" s="60"/>
      <c r="Q35" s="60"/>
      <c r="R35" s="60"/>
      <c r="S35" s="60"/>
      <c r="T35" s="71"/>
      <c r="U35" s="70" t="s">
        <v>221</v>
      </c>
      <c r="V35" s="71"/>
      <c r="W35" s="70" t="s">
        <v>3</v>
      </c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72"/>
    </row>
    <row r="36" spans="1:51" ht="15" customHeight="1">
      <c r="B36" s="80" t="s">
        <v>213</v>
      </c>
      <c r="C36" s="19"/>
      <c r="D36" s="19"/>
      <c r="E36" s="19"/>
      <c r="F36" s="19"/>
      <c r="G36" s="19"/>
      <c r="H36" s="64"/>
      <c r="I36" s="80" t="s">
        <v>223</v>
      </c>
      <c r="J36" s="19"/>
      <c r="K36" s="19"/>
      <c r="L36" s="19"/>
      <c r="M36" s="19"/>
      <c r="N36" s="64"/>
      <c r="O36" s="61" t="s">
        <v>218</v>
      </c>
      <c r="P36" s="75"/>
      <c r="Q36" s="75"/>
      <c r="R36" s="75"/>
      <c r="S36" s="75"/>
      <c r="T36" s="78"/>
      <c r="U36" s="61" t="s">
        <v>233</v>
      </c>
      <c r="V36" s="13"/>
      <c r="W36" s="61" t="s">
        <v>234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73"/>
      <c r="AV36" s="73"/>
      <c r="AW36" s="73"/>
      <c r="AX36" s="73"/>
      <c r="AY36" s="62"/>
    </row>
    <row r="37" spans="1:51" ht="15" customHeight="1">
      <c r="B37" s="83" t="s">
        <v>215</v>
      </c>
      <c r="C37" s="8"/>
      <c r="D37" s="8"/>
      <c r="E37" s="8"/>
      <c r="F37" s="8"/>
      <c r="G37" s="8"/>
      <c r="H37" s="84"/>
      <c r="I37" s="83"/>
      <c r="J37" s="8"/>
      <c r="K37" s="8"/>
      <c r="L37" s="8"/>
      <c r="M37" s="8"/>
      <c r="N37" s="84"/>
      <c r="O37" s="63" t="s">
        <v>219</v>
      </c>
      <c r="P37" s="81"/>
      <c r="Q37" s="81"/>
      <c r="R37" s="81"/>
      <c r="S37" s="81"/>
      <c r="T37" s="82"/>
      <c r="U37" s="61" t="s">
        <v>233</v>
      </c>
      <c r="V37" s="20"/>
      <c r="W37" s="61" t="s">
        <v>234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73"/>
      <c r="AV37" s="73"/>
      <c r="AW37" s="73"/>
      <c r="AX37" s="73"/>
      <c r="AY37" s="62"/>
    </row>
    <row r="38" spans="1:51" ht="15" customHeight="1">
      <c r="B38" s="83"/>
      <c r="C38" s="8"/>
      <c r="D38" s="8"/>
      <c r="E38" s="8"/>
      <c r="F38" s="8"/>
      <c r="G38" s="8"/>
      <c r="H38" s="84"/>
      <c r="I38" s="83"/>
      <c r="J38" s="8"/>
      <c r="K38" s="8"/>
      <c r="L38" s="8"/>
      <c r="M38" s="8"/>
      <c r="N38" s="84"/>
      <c r="O38" s="85" t="s">
        <v>227</v>
      </c>
      <c r="P38" s="81"/>
      <c r="Q38" s="81"/>
      <c r="R38" s="81"/>
      <c r="S38" s="81"/>
      <c r="T38" s="82"/>
      <c r="U38" s="61" t="s">
        <v>233</v>
      </c>
      <c r="V38" s="20"/>
      <c r="W38" s="61" t="s">
        <v>234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73"/>
      <c r="AV38" s="73"/>
      <c r="AW38" s="73"/>
      <c r="AX38" s="73"/>
      <c r="AY38" s="62"/>
    </row>
    <row r="39" spans="1:51" ht="15" customHeight="1">
      <c r="B39" s="83"/>
      <c r="C39" s="8"/>
      <c r="D39" s="8"/>
      <c r="E39" s="8"/>
      <c r="F39" s="8"/>
      <c r="G39" s="8"/>
      <c r="H39" s="84"/>
      <c r="I39" s="80" t="s">
        <v>226</v>
      </c>
      <c r="J39" s="19"/>
      <c r="K39" s="19"/>
      <c r="L39" s="19"/>
      <c r="M39" s="19"/>
      <c r="N39" s="64"/>
      <c r="O39" s="61" t="s">
        <v>218</v>
      </c>
      <c r="P39" s="81"/>
      <c r="Q39" s="81"/>
      <c r="R39" s="81"/>
      <c r="S39" s="81"/>
      <c r="T39" s="82"/>
      <c r="U39" s="61" t="s">
        <v>212</v>
      </c>
      <c r="V39" s="88"/>
      <c r="W39" s="61" t="s">
        <v>220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73"/>
      <c r="AV39" s="73"/>
      <c r="AW39" s="73"/>
      <c r="AX39" s="73"/>
      <c r="AY39" s="62"/>
    </row>
    <row r="40" spans="1:51" ht="15" customHeight="1">
      <c r="B40" s="83"/>
      <c r="C40" s="8"/>
      <c r="D40" s="8"/>
      <c r="E40" s="8"/>
      <c r="F40" s="8"/>
      <c r="G40" s="8"/>
      <c r="H40" s="84"/>
      <c r="I40" s="83"/>
      <c r="J40" s="8"/>
      <c r="K40" s="8"/>
      <c r="L40" s="8"/>
      <c r="M40" s="8"/>
      <c r="N40" s="84"/>
      <c r="O40" s="63" t="s">
        <v>219</v>
      </c>
      <c r="P40" s="81"/>
      <c r="Q40" s="81"/>
      <c r="R40" s="81"/>
      <c r="S40" s="81"/>
      <c r="T40" s="82"/>
      <c r="U40" s="61" t="s">
        <v>212</v>
      </c>
      <c r="V40" s="88"/>
      <c r="W40" s="61" t="s">
        <v>220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73"/>
      <c r="AV40" s="73"/>
      <c r="AW40" s="73"/>
      <c r="AX40" s="73"/>
      <c r="AY40" s="62"/>
    </row>
    <row r="41" spans="1:51" ht="15" customHeight="1">
      <c r="B41" s="65"/>
      <c r="C41" s="26"/>
      <c r="D41" s="26"/>
      <c r="E41" s="26"/>
      <c r="F41" s="26"/>
      <c r="G41" s="26"/>
      <c r="H41" s="66"/>
      <c r="I41" s="65"/>
      <c r="J41" s="26"/>
      <c r="K41" s="26"/>
      <c r="L41" s="26"/>
      <c r="M41" s="26"/>
      <c r="N41" s="66"/>
      <c r="O41" s="85" t="s">
        <v>227</v>
      </c>
      <c r="P41" s="76"/>
      <c r="Q41" s="76"/>
      <c r="R41" s="76"/>
      <c r="S41" s="76"/>
      <c r="T41" s="79"/>
      <c r="U41" s="61" t="s">
        <v>212</v>
      </c>
      <c r="V41" s="88"/>
      <c r="W41" s="61" t="s">
        <v>220</v>
      </c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62"/>
    </row>
    <row r="42" spans="1:51" ht="15" customHeight="1">
      <c r="B42" s="80" t="s">
        <v>214</v>
      </c>
      <c r="C42" s="19"/>
      <c r="D42" s="19"/>
      <c r="E42" s="19"/>
      <c r="F42" s="19"/>
      <c r="G42" s="19"/>
      <c r="H42" s="64"/>
      <c r="I42" s="80" t="s">
        <v>222</v>
      </c>
      <c r="J42" s="19"/>
      <c r="K42" s="19"/>
      <c r="L42" s="19"/>
      <c r="M42" s="19"/>
      <c r="N42" s="64"/>
      <c r="O42" s="61" t="s">
        <v>218</v>
      </c>
      <c r="P42" s="75"/>
      <c r="Q42" s="75"/>
      <c r="R42" s="75"/>
      <c r="S42" s="75"/>
      <c r="T42" s="78"/>
      <c r="U42" s="61" t="s">
        <v>209</v>
      </c>
      <c r="V42" s="88"/>
      <c r="W42" s="61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3"/>
      <c r="AV42" s="73"/>
      <c r="AW42" s="73"/>
      <c r="AX42" s="73"/>
      <c r="AY42" s="62"/>
    </row>
    <row r="43" spans="1:51" ht="15" customHeight="1">
      <c r="B43" s="83" t="s">
        <v>216</v>
      </c>
      <c r="C43" s="8"/>
      <c r="D43" s="8"/>
      <c r="E43" s="8"/>
      <c r="F43" s="8"/>
      <c r="G43" s="8"/>
      <c r="H43" s="84"/>
      <c r="I43" s="83"/>
      <c r="J43" s="8"/>
      <c r="K43" s="8"/>
      <c r="L43" s="8"/>
      <c r="M43" s="8"/>
      <c r="N43" s="84"/>
      <c r="O43" s="63" t="s">
        <v>219</v>
      </c>
      <c r="P43" s="81"/>
      <c r="Q43" s="81"/>
      <c r="R43" s="81"/>
      <c r="S43" s="81"/>
      <c r="T43" s="82"/>
      <c r="U43" s="61" t="s">
        <v>209</v>
      </c>
      <c r="V43" s="88"/>
      <c r="W43" s="61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3"/>
      <c r="AV43" s="73"/>
      <c r="AW43" s="73"/>
      <c r="AX43" s="73"/>
      <c r="AY43" s="62"/>
    </row>
    <row r="44" spans="1:51" ht="15" customHeight="1">
      <c r="B44" s="83"/>
      <c r="C44" s="8"/>
      <c r="D44" s="8"/>
      <c r="E44" s="8"/>
      <c r="F44" s="8"/>
      <c r="G44" s="8"/>
      <c r="H44" s="84"/>
      <c r="I44" s="83"/>
      <c r="J44" s="8"/>
      <c r="K44" s="8"/>
      <c r="L44" s="8"/>
      <c r="M44" s="8"/>
      <c r="N44" s="84"/>
      <c r="O44" s="85" t="s">
        <v>227</v>
      </c>
      <c r="P44" s="81"/>
      <c r="Q44" s="81"/>
      <c r="R44" s="81"/>
      <c r="S44" s="81"/>
      <c r="T44" s="82"/>
      <c r="U44" s="61" t="s">
        <v>212</v>
      </c>
      <c r="V44" s="20"/>
      <c r="W44" s="61" t="s">
        <v>229</v>
      </c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3"/>
      <c r="AV44" s="73"/>
      <c r="AW44" s="73"/>
      <c r="AX44" s="73"/>
      <c r="AY44" s="62"/>
    </row>
    <row r="45" spans="1:51" ht="15" customHeight="1">
      <c r="B45" s="83"/>
      <c r="C45" s="8"/>
      <c r="D45" s="8"/>
      <c r="E45" s="8"/>
      <c r="F45" s="8"/>
      <c r="G45" s="8"/>
      <c r="H45" s="84"/>
      <c r="I45" s="80" t="s">
        <v>225</v>
      </c>
      <c r="J45" s="19"/>
      <c r="K45" s="19"/>
      <c r="L45" s="19"/>
      <c r="M45" s="19"/>
      <c r="N45" s="64"/>
      <c r="O45" s="61" t="s">
        <v>218</v>
      </c>
      <c r="P45" s="81"/>
      <c r="Q45" s="81"/>
      <c r="R45" s="81"/>
      <c r="S45" s="81"/>
      <c r="T45" s="82"/>
      <c r="U45" s="86" t="s">
        <v>211</v>
      </c>
      <c r="V45" s="20"/>
      <c r="W45" s="74" t="s">
        <v>230</v>
      </c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3"/>
      <c r="AV45" s="73"/>
      <c r="AW45" s="73"/>
      <c r="AX45" s="73"/>
      <c r="AY45" s="62"/>
    </row>
    <row r="46" spans="1:51" ht="15" customHeight="1">
      <c r="B46" s="83"/>
      <c r="C46" s="8"/>
      <c r="D46" s="8"/>
      <c r="E46" s="8"/>
      <c r="F46" s="8"/>
      <c r="G46" s="8"/>
      <c r="H46" s="84"/>
      <c r="I46" s="83"/>
      <c r="J46" s="8"/>
      <c r="K46" s="8"/>
      <c r="L46" s="8"/>
      <c r="M46" s="8"/>
      <c r="N46" s="84"/>
      <c r="O46" s="63" t="s">
        <v>219</v>
      </c>
      <c r="P46" s="81"/>
      <c r="Q46" s="81"/>
      <c r="R46" s="81"/>
      <c r="S46" s="81"/>
      <c r="T46" s="82"/>
      <c r="U46" s="86" t="s">
        <v>211</v>
      </c>
      <c r="V46" s="20"/>
      <c r="W46" s="74" t="s">
        <v>228</v>
      </c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3"/>
      <c r="AV46" s="73"/>
      <c r="AW46" s="73"/>
      <c r="AX46" s="73"/>
      <c r="AY46" s="62"/>
    </row>
    <row r="47" spans="1:51" ht="15" customHeight="1">
      <c r="B47" s="67"/>
      <c r="C47" s="68"/>
      <c r="D47" s="68"/>
      <c r="E47" s="68"/>
      <c r="F47" s="68"/>
      <c r="G47" s="68"/>
      <c r="H47" s="69"/>
      <c r="I47" s="65"/>
      <c r="J47" s="26"/>
      <c r="K47" s="26"/>
      <c r="L47" s="26"/>
      <c r="M47" s="26"/>
      <c r="N47" s="66"/>
      <c r="O47" s="85" t="s">
        <v>227</v>
      </c>
      <c r="P47" s="76"/>
      <c r="Q47" s="76"/>
      <c r="R47" s="76"/>
      <c r="S47" s="76"/>
      <c r="T47" s="79"/>
      <c r="U47" s="86" t="s">
        <v>211</v>
      </c>
      <c r="V47" s="88"/>
      <c r="W47" s="74" t="s">
        <v>228</v>
      </c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3"/>
      <c r="AV47" s="73"/>
      <c r="AW47" s="73"/>
      <c r="AX47" s="73"/>
      <c r="AY47" s="62"/>
    </row>
    <row r="48" spans="1:51" ht="15" customHeight="1">
      <c r="O48" s="1" t="s">
        <v>232</v>
      </c>
      <c r="AE48" s="5"/>
    </row>
    <row r="49" spans="15:31" ht="15" customHeight="1">
      <c r="O49" s="90" t="s">
        <v>243</v>
      </c>
      <c r="AE49" s="5"/>
    </row>
  </sheetData>
  <mergeCells count="10">
    <mergeCell ref="B30:H30"/>
    <mergeCell ref="I30:M30"/>
    <mergeCell ref="N30:W30"/>
    <mergeCell ref="X30:AY30"/>
    <mergeCell ref="A1:AZ1"/>
    <mergeCell ref="B26:C26"/>
    <mergeCell ref="D25:O25"/>
    <mergeCell ref="B25:C25"/>
    <mergeCell ref="P25:AE25"/>
    <mergeCell ref="AF25:AY25"/>
  </mergeCells>
  <phoneticPr fontId="1"/>
  <pageMargins left="0.23622047244094491" right="0.23622047244094491" top="0.31496062992125984" bottom="0.27559055118110237" header="0.35433070866141736" footer="0.15748031496062992"/>
  <pageSetup paperSize="9" scale="61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3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2" ht="28.5">
      <c r="A1" s="139" t="str">
        <f ca="1">RIGHT(CELL("filename",A1),LEN(CELL("filename",A1))-FIND("]",CELL("filename",A1)))</f>
        <v>業務概要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</row>
    <row r="2" spans="1:5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s="5" customFormat="1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s="5" customFormat="1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s="5" customFormat="1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s="5" customFormat="1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</sheetData>
  <mergeCells count="1">
    <mergeCell ref="A1:AZ1"/>
  </mergeCells>
  <phoneticPr fontId="1"/>
  <pageMargins left="0.23622047244094491" right="0.23622047244094491" top="0.31496062992125984" bottom="0.27559055118110237" header="0.35433070866141736" footer="0.15748031496062992"/>
  <pageSetup paperSize="9" scale="89" orientation="landscape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94"/>
  <sheetViews>
    <sheetView showGridLines="0" view="pageBreakPreview" zoomScaleNormal="100" zoomScaleSheetLayoutView="100" workbookViewId="0">
      <selection sqref="A1:BD1"/>
    </sheetView>
  </sheetViews>
  <sheetFormatPr defaultColWidth="2.5" defaultRowHeight="15" customHeight="1"/>
  <cols>
    <col min="1" max="16384" width="2.5" style="1"/>
  </cols>
  <sheetData>
    <row r="1" spans="1:62" ht="28.5">
      <c r="A1" s="139" t="str">
        <f ca="1">RIGHT(CELL("filename",A1),LEN(CELL("filename",A1))-FIND("]",CELL("filename",A1)))</f>
        <v>入出力仕様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09"/>
      <c r="BF1" s="109"/>
      <c r="BG1" s="109"/>
      <c r="BH1" s="109"/>
      <c r="BI1" s="109"/>
      <c r="BJ1" s="109"/>
    </row>
    <row r="3" spans="1:62" s="5" customFormat="1" ht="15" customHeight="1">
      <c r="A3" s="3" t="s">
        <v>23</v>
      </c>
      <c r="B3" s="4"/>
      <c r="C3" s="4"/>
      <c r="D3" s="4"/>
      <c r="E3" s="4"/>
      <c r="F3" s="4"/>
      <c r="G3" s="4"/>
    </row>
    <row r="4" spans="1:62" ht="15" customHeight="1">
      <c r="A4" s="4"/>
      <c r="B4" s="7" t="s">
        <v>12</v>
      </c>
      <c r="C4" s="7"/>
    </row>
    <row r="5" spans="1:62" ht="15" customHeight="1">
      <c r="A5" s="4"/>
      <c r="B5" s="164" t="s">
        <v>0</v>
      </c>
      <c r="C5" s="164"/>
      <c r="D5" s="165" t="s">
        <v>9</v>
      </c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7"/>
      <c r="S5" s="97" t="s">
        <v>11</v>
      </c>
      <c r="T5" s="98"/>
      <c r="U5" s="97" t="s">
        <v>14</v>
      </c>
      <c r="V5" s="98"/>
      <c r="W5" s="99"/>
      <c r="X5" s="100" t="s">
        <v>242</v>
      </c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41" t="s">
        <v>10</v>
      </c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3"/>
      <c r="BD5" s="108"/>
    </row>
    <row r="6" spans="1:62" ht="15" customHeight="1">
      <c r="A6" s="4"/>
      <c r="B6" s="147">
        <v>1</v>
      </c>
      <c r="C6" s="147"/>
      <c r="D6" s="103" t="s">
        <v>249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5"/>
      <c r="S6" s="103" t="s">
        <v>347</v>
      </c>
      <c r="T6" s="104"/>
      <c r="U6" s="103" t="s">
        <v>15</v>
      </c>
      <c r="V6" s="104"/>
      <c r="W6" s="105"/>
      <c r="X6" s="103" t="s">
        <v>244</v>
      </c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6"/>
      <c r="AJ6" s="106"/>
      <c r="AK6" s="106"/>
      <c r="AL6" s="103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5"/>
      <c r="BD6" s="108"/>
    </row>
    <row r="7" spans="1:62" ht="15" customHeight="1">
      <c r="A7" s="4"/>
      <c r="B7" s="147">
        <v>2</v>
      </c>
      <c r="C7" s="147"/>
      <c r="D7" s="103" t="s">
        <v>250</v>
      </c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5"/>
      <c r="S7" s="103" t="s">
        <v>251</v>
      </c>
      <c r="T7" s="104"/>
      <c r="U7" s="103" t="s">
        <v>252</v>
      </c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6"/>
      <c r="AJ7" s="106"/>
      <c r="AK7" s="106"/>
      <c r="AL7" s="103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5"/>
      <c r="BD7" s="108"/>
    </row>
    <row r="9" spans="1:62" s="5" customFormat="1" ht="15" customHeight="1">
      <c r="A9" s="3" t="s">
        <v>203</v>
      </c>
      <c r="B9" s="4"/>
      <c r="C9" s="4"/>
      <c r="D9" s="4"/>
      <c r="E9" s="4"/>
      <c r="F9" s="4"/>
      <c r="G9" s="4"/>
    </row>
    <row r="10" spans="1:62" ht="15" customHeight="1">
      <c r="A10" s="4"/>
    </row>
    <row r="11" spans="1:62" ht="15" customHeight="1">
      <c r="A11" s="4"/>
      <c r="B11" s="168" t="s">
        <v>60</v>
      </c>
      <c r="C11" s="168"/>
      <c r="D11" s="168"/>
      <c r="E11" s="168"/>
      <c r="F11" s="168"/>
      <c r="G11" s="168"/>
      <c r="H11" s="168"/>
      <c r="I11" s="169" t="s">
        <v>253</v>
      </c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70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</row>
    <row r="12" spans="1:62" ht="15" customHeight="1">
      <c r="A12" s="4"/>
      <c r="B12" s="174" t="s">
        <v>0</v>
      </c>
      <c r="C12" s="174"/>
      <c r="D12" s="171" t="s">
        <v>38</v>
      </c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44" t="s">
        <v>61</v>
      </c>
      <c r="W12" s="145"/>
      <c r="X12" s="145"/>
      <c r="Y12" s="145"/>
      <c r="Z12" s="145"/>
      <c r="AA12" s="145"/>
      <c r="AB12" s="145"/>
      <c r="AC12" s="146"/>
      <c r="AD12" s="144" t="s">
        <v>62</v>
      </c>
      <c r="AE12" s="145"/>
      <c r="AF12" s="145"/>
      <c r="AG12" s="145"/>
      <c r="AH12" s="145"/>
      <c r="AI12" s="145"/>
      <c r="AJ12" s="145"/>
      <c r="AK12" s="146"/>
      <c r="AL12" s="144" t="s">
        <v>63</v>
      </c>
      <c r="AM12" s="145"/>
      <c r="AN12" s="145"/>
      <c r="AO12" s="145"/>
      <c r="AP12" s="145"/>
      <c r="AQ12" s="145"/>
      <c r="AR12" s="146"/>
      <c r="AS12" s="144" t="s">
        <v>71</v>
      </c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</row>
    <row r="13" spans="1:62" ht="15" customHeight="1">
      <c r="A13" s="4"/>
      <c r="B13" s="147">
        <v>1</v>
      </c>
      <c r="C13" s="147"/>
      <c r="D13" s="11" t="s">
        <v>258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73"/>
      <c r="S13" s="73"/>
      <c r="T13" s="73"/>
      <c r="U13" s="92"/>
      <c r="V13" s="11" t="s">
        <v>253</v>
      </c>
      <c r="W13" s="12"/>
      <c r="X13" s="12"/>
      <c r="Y13" s="12"/>
      <c r="Z13" s="12"/>
      <c r="AA13" s="12"/>
      <c r="AB13" s="12"/>
      <c r="AC13" s="92"/>
      <c r="AD13" s="11" t="s">
        <v>253</v>
      </c>
      <c r="AE13" s="12"/>
      <c r="AF13" s="12"/>
      <c r="AG13" s="12"/>
      <c r="AH13" s="12"/>
      <c r="AI13" s="12"/>
      <c r="AJ13" s="12"/>
      <c r="AK13" s="92"/>
      <c r="AL13" s="11" t="s">
        <v>258</v>
      </c>
      <c r="AM13" s="12"/>
      <c r="AN13" s="12"/>
      <c r="AO13" s="12"/>
      <c r="AP13" s="12"/>
      <c r="AQ13" s="12"/>
      <c r="AR13" s="13"/>
      <c r="AS13" s="11"/>
      <c r="AT13" s="12"/>
      <c r="AU13" s="12"/>
      <c r="AV13" s="12"/>
      <c r="AW13" s="12"/>
      <c r="AX13" s="12"/>
      <c r="AY13" s="12"/>
      <c r="AZ13" s="12"/>
      <c r="BA13" s="12"/>
      <c r="BB13" s="12"/>
      <c r="BC13" s="92"/>
    </row>
    <row r="14" spans="1:62" ht="15" customHeight="1">
      <c r="A14" s="4"/>
      <c r="B14" s="147">
        <v>2</v>
      </c>
      <c r="C14" s="147"/>
      <c r="D14" s="11" t="s">
        <v>254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73"/>
      <c r="S14" s="73"/>
      <c r="T14" s="73"/>
      <c r="U14" s="92"/>
      <c r="V14" s="11" t="s">
        <v>228</v>
      </c>
      <c r="W14" s="12"/>
      <c r="X14" s="12"/>
      <c r="Y14" s="12"/>
      <c r="Z14" s="12"/>
      <c r="AA14" s="12"/>
      <c r="AB14" s="12"/>
      <c r="AC14" s="92"/>
      <c r="AD14" s="11" t="s">
        <v>228</v>
      </c>
      <c r="AE14" s="12"/>
      <c r="AF14" s="12"/>
      <c r="AG14" s="12"/>
      <c r="AH14" s="12"/>
      <c r="AI14" s="12"/>
      <c r="AJ14" s="12"/>
      <c r="AK14" s="92"/>
      <c r="AL14" s="11" t="s">
        <v>254</v>
      </c>
      <c r="AM14" s="12"/>
      <c r="AN14" s="12"/>
      <c r="AO14" s="12"/>
      <c r="AP14" s="12"/>
      <c r="AQ14" s="12"/>
      <c r="AR14" s="13"/>
      <c r="AS14" s="11"/>
      <c r="AT14" s="12"/>
      <c r="AU14" s="12"/>
      <c r="AV14" s="12"/>
      <c r="AW14" s="12"/>
      <c r="AX14" s="12"/>
      <c r="AY14" s="12"/>
      <c r="AZ14" s="12"/>
      <c r="BA14" s="12"/>
      <c r="BB14" s="12"/>
      <c r="BC14" s="92"/>
    </row>
    <row r="15" spans="1:62" ht="15" customHeight="1">
      <c r="A15" s="4"/>
      <c r="B15" s="147">
        <v>3</v>
      </c>
      <c r="C15" s="147"/>
      <c r="D15" s="11" t="s">
        <v>259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73"/>
      <c r="S15" s="73"/>
      <c r="T15" s="73"/>
      <c r="U15" s="92"/>
      <c r="V15" s="11" t="s">
        <v>228</v>
      </c>
      <c r="W15" s="12"/>
      <c r="X15" s="12"/>
      <c r="Y15" s="12"/>
      <c r="Z15" s="12"/>
      <c r="AA15" s="12"/>
      <c r="AB15" s="12"/>
      <c r="AC15" s="92"/>
      <c r="AD15" s="11" t="s">
        <v>228</v>
      </c>
      <c r="AE15" s="12"/>
      <c r="AF15" s="12"/>
      <c r="AG15" s="12"/>
      <c r="AH15" s="12"/>
      <c r="AI15" s="12"/>
      <c r="AJ15" s="12"/>
      <c r="AK15" s="92"/>
      <c r="AL15" s="11" t="s">
        <v>259</v>
      </c>
      <c r="AM15" s="12"/>
      <c r="AN15" s="12"/>
      <c r="AO15" s="12"/>
      <c r="AP15" s="12"/>
      <c r="AQ15" s="12"/>
      <c r="AR15" s="13"/>
      <c r="AS15" s="11"/>
      <c r="AT15" s="12"/>
      <c r="AU15" s="12"/>
      <c r="AV15" s="12"/>
      <c r="AW15" s="12"/>
      <c r="AX15" s="12"/>
      <c r="AY15" s="12"/>
      <c r="AZ15" s="12"/>
      <c r="BA15" s="12"/>
      <c r="BB15" s="12"/>
      <c r="BC15" s="92"/>
    </row>
    <row r="16" spans="1:62" ht="15" customHeight="1">
      <c r="A16" s="4"/>
      <c r="B16" s="147">
        <v>4</v>
      </c>
      <c r="C16" s="147"/>
      <c r="D16" s="11" t="s">
        <v>255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73"/>
      <c r="S16" s="73"/>
      <c r="T16" s="73"/>
      <c r="U16" s="92"/>
      <c r="V16" s="11" t="s">
        <v>228</v>
      </c>
      <c r="W16" s="12"/>
      <c r="X16" s="12"/>
      <c r="Y16" s="12"/>
      <c r="Z16" s="12"/>
      <c r="AA16" s="12"/>
      <c r="AB16" s="12"/>
      <c r="AC16" s="92"/>
      <c r="AD16" s="11" t="s">
        <v>228</v>
      </c>
      <c r="AE16" s="12"/>
      <c r="AF16" s="12"/>
      <c r="AG16" s="12"/>
      <c r="AH16" s="12"/>
      <c r="AI16" s="12"/>
      <c r="AJ16" s="12"/>
      <c r="AK16" s="92"/>
      <c r="AL16" s="11" t="s">
        <v>255</v>
      </c>
      <c r="AM16" s="12"/>
      <c r="AN16" s="12"/>
      <c r="AO16" s="12"/>
      <c r="AP16" s="12"/>
      <c r="AQ16" s="12"/>
      <c r="AR16" s="13"/>
      <c r="AS16" s="11"/>
      <c r="AT16" s="12"/>
      <c r="AU16" s="12"/>
      <c r="AV16" s="12"/>
      <c r="AW16" s="12"/>
      <c r="AX16" s="12"/>
      <c r="AY16" s="12"/>
      <c r="AZ16" s="12"/>
      <c r="BA16" s="12"/>
      <c r="BB16" s="12"/>
      <c r="BC16" s="92"/>
    </row>
    <row r="17" spans="1:75" ht="15" customHeight="1">
      <c r="A17" s="4"/>
      <c r="B17" s="147">
        <v>5</v>
      </c>
      <c r="C17" s="147"/>
      <c r="D17" s="11" t="s">
        <v>260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73"/>
      <c r="S17" s="73"/>
      <c r="T17" s="73"/>
      <c r="U17" s="92"/>
      <c r="V17" s="11" t="s">
        <v>228</v>
      </c>
      <c r="W17" s="12"/>
      <c r="X17" s="12"/>
      <c r="Y17" s="12"/>
      <c r="Z17" s="12"/>
      <c r="AA17" s="12"/>
      <c r="AB17" s="12"/>
      <c r="AC17" s="92"/>
      <c r="AD17" s="11" t="s">
        <v>228</v>
      </c>
      <c r="AE17" s="12"/>
      <c r="AF17" s="12"/>
      <c r="AG17" s="12"/>
      <c r="AH17" s="12"/>
      <c r="AI17" s="12"/>
      <c r="AJ17" s="12"/>
      <c r="AK17" s="92"/>
      <c r="AL17" s="11" t="s">
        <v>260</v>
      </c>
      <c r="AM17" s="12"/>
      <c r="AN17" s="12"/>
      <c r="AO17" s="12"/>
      <c r="AP17" s="12"/>
      <c r="AQ17" s="12"/>
      <c r="AR17" s="13"/>
      <c r="AS17" s="11"/>
      <c r="AT17" s="12"/>
      <c r="AU17" s="12"/>
      <c r="AV17" s="12"/>
      <c r="AW17" s="12"/>
      <c r="AX17" s="12"/>
      <c r="AY17" s="12"/>
      <c r="AZ17" s="12"/>
      <c r="BA17" s="12"/>
      <c r="BB17" s="12"/>
      <c r="BC17" s="92"/>
    </row>
    <row r="18" spans="1:75" s="5" customFormat="1" ht="15" customHeight="1">
      <c r="A18" s="4"/>
      <c r="B18" s="147">
        <v>6</v>
      </c>
      <c r="C18" s="147"/>
      <c r="D18" s="11" t="s">
        <v>266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95"/>
      <c r="S18" s="95"/>
      <c r="T18" s="95"/>
      <c r="U18" s="96"/>
      <c r="V18" s="11" t="s">
        <v>228</v>
      </c>
      <c r="W18" s="12"/>
      <c r="X18" s="12"/>
      <c r="Y18" s="12"/>
      <c r="Z18" s="12"/>
      <c r="AA18" s="12"/>
      <c r="AB18" s="12"/>
      <c r="AC18" s="96"/>
      <c r="AD18" s="11" t="s">
        <v>228</v>
      </c>
      <c r="AE18" s="12"/>
      <c r="AF18" s="12"/>
      <c r="AG18" s="12"/>
      <c r="AH18" s="12"/>
      <c r="AI18" s="12"/>
      <c r="AJ18" s="12"/>
      <c r="AK18" s="96"/>
      <c r="AL18" s="11" t="s">
        <v>266</v>
      </c>
      <c r="AM18" s="12"/>
      <c r="AN18" s="12"/>
      <c r="AO18" s="12"/>
      <c r="AP18" s="12"/>
      <c r="AQ18" s="12"/>
      <c r="AR18" s="13"/>
      <c r="AS18" s="11"/>
      <c r="AT18" s="12"/>
      <c r="AU18" s="12"/>
      <c r="AV18" s="12"/>
      <c r="AW18" s="12"/>
      <c r="AX18" s="12"/>
      <c r="AY18" s="12"/>
      <c r="AZ18" s="12"/>
      <c r="BA18" s="12"/>
      <c r="BB18" s="12"/>
      <c r="BC18" s="96"/>
      <c r="BV18" s="1"/>
      <c r="BW18" s="1"/>
    </row>
    <row r="19" spans="1:75" ht="15" customHeight="1">
      <c r="B19" s="147">
        <v>7</v>
      </c>
      <c r="C19" s="147"/>
      <c r="D19" s="11" t="s">
        <v>267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73"/>
      <c r="S19" s="73"/>
      <c r="T19" s="73"/>
      <c r="U19" s="92"/>
      <c r="V19" s="11" t="s">
        <v>228</v>
      </c>
      <c r="W19" s="12"/>
      <c r="X19" s="12"/>
      <c r="Y19" s="12"/>
      <c r="Z19" s="12"/>
      <c r="AA19" s="12"/>
      <c r="AB19" s="12"/>
      <c r="AC19" s="92"/>
      <c r="AD19" s="11" t="s">
        <v>228</v>
      </c>
      <c r="AE19" s="12"/>
      <c r="AF19" s="12"/>
      <c r="AG19" s="12"/>
      <c r="AH19" s="12"/>
      <c r="AI19" s="12"/>
      <c r="AJ19" s="12"/>
      <c r="AK19" s="92"/>
      <c r="AL19" s="11" t="s">
        <v>267</v>
      </c>
      <c r="AM19" s="12"/>
      <c r="AN19" s="12"/>
      <c r="AO19" s="12"/>
      <c r="AP19" s="12"/>
      <c r="AQ19" s="12"/>
      <c r="AR19" s="13"/>
      <c r="AS19" s="11"/>
      <c r="AT19" s="12"/>
      <c r="AU19" s="12"/>
      <c r="AV19" s="12"/>
      <c r="AW19" s="12"/>
      <c r="AX19" s="12"/>
      <c r="AY19" s="12"/>
      <c r="AZ19" s="12"/>
      <c r="BA19" s="12"/>
      <c r="BB19" s="12"/>
      <c r="BC19" s="92"/>
    </row>
    <row r="20" spans="1:75" ht="15" customHeight="1">
      <c r="B20" s="147">
        <v>8</v>
      </c>
      <c r="C20" s="147"/>
      <c r="D20" s="11" t="s">
        <v>269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73"/>
      <c r="S20" s="73"/>
      <c r="T20" s="73"/>
      <c r="U20" s="92"/>
      <c r="V20" s="11" t="s">
        <v>228</v>
      </c>
      <c r="W20" s="12"/>
      <c r="X20" s="12"/>
      <c r="Y20" s="12"/>
      <c r="Z20" s="12"/>
      <c r="AA20" s="12"/>
      <c r="AB20" s="12"/>
      <c r="AC20" s="92"/>
      <c r="AD20" s="11" t="s">
        <v>228</v>
      </c>
      <c r="AE20" s="12"/>
      <c r="AF20" s="12"/>
      <c r="AG20" s="12"/>
      <c r="AH20" s="12"/>
      <c r="AI20" s="12"/>
      <c r="AJ20" s="12"/>
      <c r="AK20" s="92"/>
      <c r="AL20" s="11" t="s">
        <v>268</v>
      </c>
      <c r="AM20" s="12"/>
      <c r="AN20" s="12"/>
      <c r="AO20" s="12"/>
      <c r="AP20" s="12"/>
      <c r="AQ20" s="12"/>
      <c r="AR20" s="13"/>
      <c r="AS20" s="11"/>
      <c r="AT20" s="12"/>
      <c r="AU20" s="12"/>
      <c r="AV20" s="12"/>
      <c r="AW20" s="12"/>
      <c r="AX20" s="12"/>
      <c r="AY20" s="12"/>
      <c r="AZ20" s="12"/>
      <c r="BA20" s="12"/>
      <c r="BB20" s="12"/>
      <c r="BC20" s="92"/>
    </row>
    <row r="21" spans="1:75" ht="15" customHeight="1">
      <c r="B21" s="147">
        <v>9</v>
      </c>
      <c r="C21" s="147"/>
      <c r="D21" s="11" t="s">
        <v>256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73"/>
      <c r="S21" s="73"/>
      <c r="T21" s="73"/>
      <c r="U21" s="92"/>
      <c r="V21" s="11" t="s">
        <v>228</v>
      </c>
      <c r="W21" s="12"/>
      <c r="X21" s="12"/>
      <c r="Y21" s="12"/>
      <c r="Z21" s="12"/>
      <c r="AA21" s="12"/>
      <c r="AB21" s="12"/>
      <c r="AC21" s="92"/>
      <c r="AD21" s="11" t="s">
        <v>228</v>
      </c>
      <c r="AE21" s="12"/>
      <c r="AF21" s="12"/>
      <c r="AG21" s="12"/>
      <c r="AH21" s="12"/>
      <c r="AI21" s="12"/>
      <c r="AJ21" s="12"/>
      <c r="AK21" s="92"/>
      <c r="AL21" s="11" t="s">
        <v>256</v>
      </c>
      <c r="AM21" s="12"/>
      <c r="AN21" s="12"/>
      <c r="AO21" s="12"/>
      <c r="AP21" s="12"/>
      <c r="AQ21" s="12"/>
      <c r="AR21" s="13"/>
      <c r="AS21" s="11"/>
      <c r="AT21" s="12"/>
      <c r="AU21" s="12"/>
      <c r="AV21" s="12"/>
      <c r="AW21" s="12"/>
      <c r="AX21" s="12"/>
      <c r="AY21" s="12"/>
      <c r="AZ21" s="12"/>
      <c r="BA21" s="12"/>
      <c r="BB21" s="12"/>
      <c r="BC21" s="92"/>
    </row>
    <row r="22" spans="1:75" ht="15" customHeight="1">
      <c r="B22" s="147">
        <v>10</v>
      </c>
      <c r="C22" s="147"/>
      <c r="D22" s="11" t="s">
        <v>257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73"/>
      <c r="S22" s="73"/>
      <c r="T22" s="73"/>
      <c r="U22" s="92"/>
      <c r="V22" s="11" t="s">
        <v>228</v>
      </c>
      <c r="W22" s="12"/>
      <c r="X22" s="12"/>
      <c r="Y22" s="12"/>
      <c r="Z22" s="12"/>
      <c r="AA22" s="12"/>
      <c r="AB22" s="12"/>
      <c r="AC22" s="92"/>
      <c r="AD22" s="11" t="s">
        <v>228</v>
      </c>
      <c r="AE22" s="12"/>
      <c r="AF22" s="12"/>
      <c r="AG22" s="12"/>
      <c r="AH22" s="12"/>
      <c r="AI22" s="12"/>
      <c r="AJ22" s="12"/>
      <c r="AK22" s="92"/>
      <c r="AL22" s="11" t="s">
        <v>257</v>
      </c>
      <c r="AM22" s="12"/>
      <c r="AN22" s="12"/>
      <c r="AO22" s="12"/>
      <c r="AP22" s="12"/>
      <c r="AQ22" s="12"/>
      <c r="AR22" s="13"/>
      <c r="AS22" s="11"/>
      <c r="AT22" s="12"/>
      <c r="AU22" s="12"/>
      <c r="AV22" s="12"/>
      <c r="AW22" s="12"/>
      <c r="AX22" s="12"/>
      <c r="AY22" s="12"/>
      <c r="AZ22" s="12"/>
      <c r="BA22" s="12"/>
      <c r="BB22" s="12"/>
      <c r="BC22" s="92"/>
    </row>
    <row r="23" spans="1:75" ht="15" customHeight="1">
      <c r="B23" s="147">
        <v>11</v>
      </c>
      <c r="C23" s="147"/>
      <c r="D23" s="11" t="s">
        <v>261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73"/>
      <c r="S23" s="73"/>
      <c r="T23" s="73"/>
      <c r="U23" s="92"/>
      <c r="V23" s="11" t="s">
        <v>228</v>
      </c>
      <c r="W23" s="12"/>
      <c r="X23" s="12"/>
      <c r="Y23" s="12"/>
      <c r="Z23" s="12"/>
      <c r="AA23" s="12"/>
      <c r="AB23" s="12"/>
      <c r="AC23" s="92"/>
      <c r="AD23" s="11" t="s">
        <v>228</v>
      </c>
      <c r="AE23" s="12"/>
      <c r="AF23" s="12"/>
      <c r="AG23" s="12"/>
      <c r="AH23" s="12"/>
      <c r="AI23" s="12"/>
      <c r="AJ23" s="12"/>
      <c r="AK23" s="92"/>
      <c r="AL23" s="11" t="s">
        <v>261</v>
      </c>
      <c r="AM23" s="12"/>
      <c r="AN23" s="12"/>
      <c r="AO23" s="12"/>
      <c r="AP23" s="12"/>
      <c r="AQ23" s="12"/>
      <c r="AR23" s="13"/>
      <c r="AS23" s="11"/>
      <c r="AT23" s="12"/>
      <c r="AU23" s="12"/>
      <c r="AV23" s="12"/>
      <c r="AW23" s="12"/>
      <c r="AX23" s="12"/>
      <c r="AY23" s="12"/>
      <c r="AZ23" s="12"/>
      <c r="BA23" s="12"/>
      <c r="BB23" s="12"/>
      <c r="BC23" s="92"/>
    </row>
    <row r="24" spans="1:75" ht="15" customHeight="1">
      <c r="B24" s="147">
        <v>12</v>
      </c>
      <c r="C24" s="147"/>
      <c r="D24" s="11" t="s">
        <v>262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73"/>
      <c r="S24" s="73"/>
      <c r="T24" s="73"/>
      <c r="U24" s="92"/>
      <c r="V24" s="11" t="s">
        <v>228</v>
      </c>
      <c r="W24" s="12"/>
      <c r="X24" s="12"/>
      <c r="Y24" s="12"/>
      <c r="Z24" s="12"/>
      <c r="AA24" s="12"/>
      <c r="AB24" s="12"/>
      <c r="AC24" s="92"/>
      <c r="AD24" s="11" t="s">
        <v>228</v>
      </c>
      <c r="AE24" s="12"/>
      <c r="AF24" s="12"/>
      <c r="AG24" s="12"/>
      <c r="AH24" s="12"/>
      <c r="AI24" s="12"/>
      <c r="AJ24" s="12"/>
      <c r="AK24" s="92"/>
      <c r="AL24" s="11" t="s">
        <v>262</v>
      </c>
      <c r="AM24" s="12"/>
      <c r="AN24" s="12"/>
      <c r="AO24" s="12"/>
      <c r="AP24" s="12"/>
      <c r="AQ24" s="12"/>
      <c r="AR24" s="13"/>
      <c r="AS24" s="11"/>
      <c r="AT24" s="12"/>
      <c r="AU24" s="12"/>
      <c r="AV24" s="12"/>
      <c r="AW24" s="12"/>
      <c r="AX24" s="12"/>
      <c r="AY24" s="12"/>
      <c r="AZ24" s="12"/>
      <c r="BA24" s="12"/>
      <c r="BB24" s="12"/>
      <c r="BC24" s="92"/>
    </row>
    <row r="25" spans="1:75" ht="15" customHeight="1">
      <c r="B25" s="147">
        <v>13</v>
      </c>
      <c r="C25" s="147"/>
      <c r="D25" s="11" t="s">
        <v>263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73"/>
      <c r="S25" s="73"/>
      <c r="T25" s="73"/>
      <c r="U25" s="92"/>
      <c r="V25" s="11" t="s">
        <v>228</v>
      </c>
      <c r="W25" s="12"/>
      <c r="X25" s="12"/>
      <c r="Y25" s="12"/>
      <c r="Z25" s="12"/>
      <c r="AA25" s="12"/>
      <c r="AB25" s="12"/>
      <c r="AC25" s="92"/>
      <c r="AD25" s="11" t="s">
        <v>228</v>
      </c>
      <c r="AE25" s="12"/>
      <c r="AF25" s="12"/>
      <c r="AG25" s="12"/>
      <c r="AH25" s="12"/>
      <c r="AI25" s="12"/>
      <c r="AJ25" s="12"/>
      <c r="AK25" s="92"/>
      <c r="AL25" s="11" t="s">
        <v>263</v>
      </c>
      <c r="AM25" s="12"/>
      <c r="AN25" s="12"/>
      <c r="AO25" s="12"/>
      <c r="AP25" s="12"/>
      <c r="AQ25" s="12"/>
      <c r="AR25" s="13"/>
      <c r="AS25" s="11"/>
      <c r="AT25" s="12"/>
      <c r="AU25" s="12"/>
      <c r="AV25" s="12"/>
      <c r="AW25" s="12"/>
      <c r="AX25" s="12"/>
      <c r="AY25" s="12"/>
      <c r="AZ25" s="12"/>
      <c r="BA25" s="12"/>
      <c r="BB25" s="12"/>
      <c r="BC25" s="92"/>
    </row>
    <row r="26" spans="1:75" ht="15" customHeight="1">
      <c r="B26" s="147">
        <v>14</v>
      </c>
      <c r="C26" s="147"/>
      <c r="D26" s="11" t="s">
        <v>264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73"/>
      <c r="S26" s="73"/>
      <c r="T26" s="73"/>
      <c r="U26" s="92"/>
      <c r="V26" s="11" t="s">
        <v>228</v>
      </c>
      <c r="W26" s="12"/>
      <c r="X26" s="12"/>
      <c r="Y26" s="12"/>
      <c r="Z26" s="12"/>
      <c r="AA26" s="12"/>
      <c r="AB26" s="12"/>
      <c r="AC26" s="92"/>
      <c r="AD26" s="11" t="s">
        <v>228</v>
      </c>
      <c r="AE26" s="12"/>
      <c r="AF26" s="12"/>
      <c r="AG26" s="12"/>
      <c r="AH26" s="12"/>
      <c r="AI26" s="12"/>
      <c r="AJ26" s="12"/>
      <c r="AK26" s="92"/>
      <c r="AL26" s="11" t="s">
        <v>264</v>
      </c>
      <c r="AM26" s="12"/>
      <c r="AN26" s="12"/>
      <c r="AO26" s="12"/>
      <c r="AP26" s="12"/>
      <c r="AQ26" s="12"/>
      <c r="AR26" s="13"/>
      <c r="AS26" s="11"/>
      <c r="AT26" s="12"/>
      <c r="AU26" s="12"/>
      <c r="AV26" s="12"/>
      <c r="AW26" s="12"/>
      <c r="AX26" s="12"/>
      <c r="AY26" s="12"/>
      <c r="AZ26" s="12"/>
      <c r="BA26" s="12"/>
      <c r="BB26" s="12"/>
      <c r="BC26" s="92"/>
    </row>
    <row r="27" spans="1:75" ht="15" customHeight="1">
      <c r="B27" s="147">
        <v>15</v>
      </c>
      <c r="C27" s="147"/>
      <c r="D27" s="11" t="s">
        <v>265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73"/>
      <c r="S27" s="73"/>
      <c r="T27" s="73"/>
      <c r="U27" s="92"/>
      <c r="V27" s="11" t="s">
        <v>228</v>
      </c>
      <c r="W27" s="12"/>
      <c r="X27" s="12"/>
      <c r="Y27" s="12"/>
      <c r="Z27" s="12"/>
      <c r="AA27" s="12"/>
      <c r="AB27" s="12"/>
      <c r="AC27" s="92"/>
      <c r="AD27" s="11" t="s">
        <v>228</v>
      </c>
      <c r="AE27" s="12"/>
      <c r="AF27" s="12"/>
      <c r="AG27" s="12"/>
      <c r="AH27" s="12"/>
      <c r="AI27" s="12"/>
      <c r="AJ27" s="12"/>
      <c r="AK27" s="92"/>
      <c r="AL27" s="11" t="s">
        <v>265</v>
      </c>
      <c r="AM27" s="12"/>
      <c r="AN27" s="12"/>
      <c r="AO27" s="12"/>
      <c r="AP27" s="12"/>
      <c r="AQ27" s="12"/>
      <c r="AR27" s="13"/>
      <c r="AS27" s="11"/>
      <c r="AT27" s="12"/>
      <c r="AU27" s="12"/>
      <c r="AV27" s="12"/>
      <c r="AW27" s="12"/>
      <c r="AX27" s="12"/>
      <c r="AY27" s="12"/>
      <c r="AZ27" s="12"/>
      <c r="BA27" s="12"/>
      <c r="BB27" s="12"/>
      <c r="BC27" s="92"/>
    </row>
    <row r="28" spans="1:75" ht="15" customHeight="1">
      <c r="B28" s="147">
        <v>16</v>
      </c>
      <c r="C28" s="147"/>
      <c r="D28" s="11" t="s">
        <v>324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73"/>
      <c r="S28" s="73"/>
      <c r="T28" s="73"/>
      <c r="U28" s="92"/>
      <c r="V28" s="11" t="s">
        <v>228</v>
      </c>
      <c r="W28" s="12"/>
      <c r="X28" s="12"/>
      <c r="Y28" s="12"/>
      <c r="Z28" s="12"/>
      <c r="AA28" s="12"/>
      <c r="AB28" s="12"/>
      <c r="AC28" s="92"/>
      <c r="AD28" s="11" t="s">
        <v>228</v>
      </c>
      <c r="AE28" s="12"/>
      <c r="AF28" s="12"/>
      <c r="AG28" s="12"/>
      <c r="AH28" s="12"/>
      <c r="AI28" s="12"/>
      <c r="AJ28" s="12"/>
      <c r="AK28" s="92"/>
      <c r="AL28" s="11" t="s">
        <v>324</v>
      </c>
      <c r="AM28" s="12"/>
      <c r="AN28" s="12"/>
      <c r="AO28" s="12"/>
      <c r="AP28" s="12"/>
      <c r="AQ28" s="12"/>
      <c r="AR28" s="13"/>
      <c r="AS28" s="11"/>
      <c r="AT28" s="12"/>
      <c r="AU28" s="12"/>
      <c r="AV28" s="12"/>
      <c r="AW28" s="12"/>
      <c r="AX28" s="12"/>
      <c r="AY28" s="12"/>
      <c r="AZ28" s="12"/>
      <c r="BA28" s="12"/>
      <c r="BB28" s="12"/>
      <c r="BC28" s="92"/>
    </row>
    <row r="29" spans="1:75" ht="15" customHeight="1">
      <c r="B29" s="147">
        <v>17</v>
      </c>
      <c r="C29" s="147"/>
      <c r="D29" s="11" t="s">
        <v>326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73"/>
      <c r="S29" s="73"/>
      <c r="T29" s="73"/>
      <c r="U29" s="92"/>
      <c r="V29" s="11" t="s">
        <v>228</v>
      </c>
      <c r="W29" s="12"/>
      <c r="X29" s="12"/>
      <c r="Y29" s="12"/>
      <c r="Z29" s="12"/>
      <c r="AA29" s="12"/>
      <c r="AB29" s="12"/>
      <c r="AC29" s="92"/>
      <c r="AD29" s="11" t="s">
        <v>228</v>
      </c>
      <c r="AE29" s="12"/>
      <c r="AF29" s="12"/>
      <c r="AG29" s="12"/>
      <c r="AH29" s="12"/>
      <c r="AI29" s="12"/>
      <c r="AJ29" s="12"/>
      <c r="AK29" s="92"/>
      <c r="AL29" s="11" t="s">
        <v>326</v>
      </c>
      <c r="AM29" s="12"/>
      <c r="AN29" s="12"/>
      <c r="AO29" s="12"/>
      <c r="AP29" s="12"/>
      <c r="AQ29" s="12"/>
      <c r="AR29" s="13"/>
      <c r="AS29" s="11"/>
      <c r="AT29" s="12"/>
      <c r="AU29" s="12"/>
      <c r="AV29" s="12"/>
      <c r="AW29" s="12"/>
      <c r="AX29" s="12"/>
      <c r="AY29" s="12"/>
      <c r="AZ29" s="12"/>
      <c r="BA29" s="12"/>
      <c r="BB29" s="12"/>
      <c r="BC29" s="92"/>
    </row>
    <row r="30" spans="1:75" ht="15" customHeight="1">
      <c r="B30" s="147">
        <v>18</v>
      </c>
      <c r="C30" s="147"/>
      <c r="D30" s="11" t="s">
        <v>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73"/>
      <c r="S30" s="73"/>
      <c r="T30" s="73"/>
      <c r="U30" s="92"/>
      <c r="V30" s="11" t="s">
        <v>228</v>
      </c>
      <c r="W30" s="12"/>
      <c r="X30" s="12"/>
      <c r="Y30" s="12"/>
      <c r="Z30" s="12"/>
      <c r="AA30" s="12"/>
      <c r="AB30" s="12"/>
      <c r="AC30" s="92"/>
      <c r="AD30" s="11" t="s">
        <v>228</v>
      </c>
      <c r="AE30" s="12"/>
      <c r="AF30" s="12"/>
      <c r="AG30" s="12"/>
      <c r="AH30" s="12"/>
      <c r="AI30" s="12"/>
      <c r="AJ30" s="12"/>
      <c r="AK30" s="92"/>
      <c r="AL30" s="11" t="s">
        <v>1</v>
      </c>
      <c r="AM30" s="12"/>
      <c r="AN30" s="12"/>
      <c r="AO30" s="12"/>
      <c r="AP30" s="12"/>
      <c r="AQ30" s="12"/>
      <c r="AR30" s="13"/>
      <c r="AS30" s="11"/>
      <c r="AT30" s="12"/>
      <c r="AU30" s="12"/>
      <c r="AV30" s="12"/>
      <c r="AW30" s="12"/>
      <c r="AX30" s="12"/>
      <c r="AY30" s="12"/>
      <c r="AZ30" s="12"/>
      <c r="BA30" s="12"/>
      <c r="BB30" s="12"/>
      <c r="BC30" s="92"/>
    </row>
    <row r="31" spans="1:75" ht="15" customHeight="1">
      <c r="B31" s="147">
        <v>19</v>
      </c>
      <c r="C31" s="147"/>
      <c r="D31" s="11" t="s">
        <v>327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73"/>
      <c r="S31" s="73"/>
      <c r="T31" s="73"/>
      <c r="U31" s="92"/>
      <c r="V31" s="11" t="s">
        <v>228</v>
      </c>
      <c r="W31" s="12"/>
      <c r="X31" s="12"/>
      <c r="Y31" s="12"/>
      <c r="Z31" s="12"/>
      <c r="AA31" s="12"/>
      <c r="AB31" s="12"/>
      <c r="AC31" s="92"/>
      <c r="AD31" s="11" t="s">
        <v>228</v>
      </c>
      <c r="AE31" s="12"/>
      <c r="AF31" s="12"/>
      <c r="AG31" s="12"/>
      <c r="AH31" s="12"/>
      <c r="AI31" s="12"/>
      <c r="AJ31" s="12"/>
      <c r="AK31" s="92"/>
      <c r="AL31" s="11" t="s">
        <v>327</v>
      </c>
      <c r="AM31" s="12"/>
      <c r="AN31" s="12"/>
      <c r="AO31" s="12"/>
      <c r="AP31" s="12"/>
      <c r="AQ31" s="12"/>
      <c r="AR31" s="13"/>
      <c r="AS31" s="11"/>
      <c r="AT31" s="12"/>
      <c r="AU31" s="12"/>
      <c r="AV31" s="12"/>
      <c r="AW31" s="12"/>
      <c r="AX31" s="12"/>
      <c r="AY31" s="12"/>
      <c r="AZ31" s="12"/>
      <c r="BA31" s="12"/>
      <c r="BB31" s="12"/>
      <c r="BC31" s="92"/>
    </row>
    <row r="32" spans="1:75" ht="15" customHeight="1">
      <c r="B32" s="147">
        <v>20</v>
      </c>
      <c r="C32" s="147"/>
      <c r="D32" s="11" t="s">
        <v>328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73"/>
      <c r="S32" s="73"/>
      <c r="T32" s="73"/>
      <c r="U32" s="92"/>
      <c r="V32" s="11" t="s">
        <v>228</v>
      </c>
      <c r="W32" s="12"/>
      <c r="X32" s="12"/>
      <c r="Y32" s="12"/>
      <c r="Z32" s="12"/>
      <c r="AA32" s="12"/>
      <c r="AB32" s="12"/>
      <c r="AC32" s="92"/>
      <c r="AD32" s="11" t="s">
        <v>228</v>
      </c>
      <c r="AE32" s="12"/>
      <c r="AF32" s="12"/>
      <c r="AG32" s="12"/>
      <c r="AH32" s="12"/>
      <c r="AI32" s="12"/>
      <c r="AJ32" s="12"/>
      <c r="AK32" s="92"/>
      <c r="AL32" s="11" t="s">
        <v>328</v>
      </c>
      <c r="AM32" s="12"/>
      <c r="AN32" s="12"/>
      <c r="AO32" s="12"/>
      <c r="AP32" s="12"/>
      <c r="AQ32" s="12"/>
      <c r="AR32" s="13"/>
      <c r="AS32" s="11"/>
      <c r="AT32" s="12"/>
      <c r="AU32" s="12"/>
      <c r="AV32" s="12"/>
      <c r="AW32" s="12"/>
      <c r="AX32" s="12"/>
      <c r="AY32" s="12"/>
      <c r="AZ32" s="12"/>
      <c r="BA32" s="12"/>
      <c r="BB32" s="12"/>
      <c r="BC32" s="92"/>
    </row>
    <row r="33" spans="1:62" ht="15" customHeight="1">
      <c r="B33" s="147">
        <v>21</v>
      </c>
      <c r="C33" s="147"/>
      <c r="D33" s="11" t="s">
        <v>329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73"/>
      <c r="S33" s="73"/>
      <c r="T33" s="73"/>
      <c r="U33" s="92"/>
      <c r="V33" s="11" t="s">
        <v>228</v>
      </c>
      <c r="W33" s="12"/>
      <c r="X33" s="12"/>
      <c r="Y33" s="12"/>
      <c r="Z33" s="12"/>
      <c r="AA33" s="12"/>
      <c r="AB33" s="12"/>
      <c r="AC33" s="92"/>
      <c r="AD33" s="11" t="s">
        <v>228</v>
      </c>
      <c r="AE33" s="12"/>
      <c r="AF33" s="12"/>
      <c r="AG33" s="12"/>
      <c r="AH33" s="12"/>
      <c r="AI33" s="12"/>
      <c r="AJ33" s="12"/>
      <c r="AK33" s="92"/>
      <c r="AL33" s="11" t="s">
        <v>329</v>
      </c>
      <c r="AM33" s="12"/>
      <c r="AN33" s="12"/>
      <c r="AO33" s="12"/>
      <c r="AP33" s="12"/>
      <c r="AQ33" s="12"/>
      <c r="AR33" s="13"/>
      <c r="AS33" s="11"/>
      <c r="AT33" s="12"/>
      <c r="AU33" s="12"/>
      <c r="AV33" s="12"/>
      <c r="AW33" s="12"/>
      <c r="AX33" s="12"/>
      <c r="AY33" s="12"/>
      <c r="AZ33" s="12"/>
      <c r="BA33" s="12"/>
      <c r="BB33" s="12"/>
      <c r="BC33" s="92"/>
    </row>
    <row r="34" spans="1:62" ht="15" customHeight="1">
      <c r="B34" s="102"/>
      <c r="C34" s="10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2" ht="15" customHeight="1">
      <c r="A35" s="3" t="s">
        <v>68</v>
      </c>
    </row>
    <row r="36" spans="1:62" ht="15" customHeight="1">
      <c r="A36" s="7" t="s">
        <v>13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5" customHeight="1">
      <c r="B37" s="148" t="s">
        <v>64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50"/>
      <c r="X37" s="155" t="s">
        <v>331</v>
      </c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7"/>
    </row>
    <row r="38" spans="1:62" ht="15" customHeight="1">
      <c r="B38" s="148" t="s">
        <v>65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50"/>
      <c r="X38" s="155" t="s">
        <v>270</v>
      </c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8"/>
      <c r="AM38" s="158"/>
      <c r="AN38" s="158"/>
      <c r="AO38" s="158"/>
      <c r="AP38" s="158"/>
      <c r="AQ38" s="158"/>
      <c r="AR38" s="159"/>
    </row>
    <row r="39" spans="1:62" ht="15" customHeight="1">
      <c r="B39" s="160" t="s">
        <v>0</v>
      </c>
      <c r="C39" s="160"/>
      <c r="D39" s="161" t="s">
        <v>38</v>
      </c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3"/>
      <c r="V39" s="144" t="s">
        <v>330</v>
      </c>
      <c r="W39" s="145"/>
      <c r="X39" s="145"/>
      <c r="Y39" s="145"/>
      <c r="Z39" s="145"/>
      <c r="AA39" s="145"/>
      <c r="AB39" s="145"/>
      <c r="AC39" s="146"/>
      <c r="AD39" s="144" t="s">
        <v>63</v>
      </c>
      <c r="AE39" s="145"/>
      <c r="AF39" s="145"/>
      <c r="AG39" s="145"/>
      <c r="AH39" s="145"/>
      <c r="AI39" s="145"/>
      <c r="AJ39" s="145"/>
      <c r="AK39" s="146"/>
      <c r="AL39" s="144" t="s">
        <v>70</v>
      </c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6"/>
    </row>
    <row r="40" spans="1:62" ht="15" customHeight="1">
      <c r="B40" s="154">
        <v>1</v>
      </c>
      <c r="C40" s="154"/>
      <c r="D40" s="151" t="s">
        <v>351</v>
      </c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3"/>
    </row>
    <row r="41" spans="1:62" ht="15" customHeight="1">
      <c r="B41" s="154">
        <v>2</v>
      </c>
      <c r="C41" s="154"/>
      <c r="D41" s="11" t="s">
        <v>271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11"/>
      <c r="W41" s="12"/>
      <c r="X41" s="12"/>
      <c r="Y41" s="12"/>
      <c r="Z41" s="12"/>
      <c r="AA41" s="12"/>
      <c r="AB41" s="12"/>
      <c r="AC41" s="92"/>
      <c r="AD41" s="11"/>
      <c r="AE41" s="12"/>
      <c r="AF41" s="12"/>
      <c r="AG41" s="12"/>
      <c r="AH41" s="12"/>
      <c r="AI41" s="12"/>
      <c r="AJ41" s="12"/>
      <c r="AK41" s="92"/>
      <c r="AL41" s="11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92"/>
    </row>
    <row r="42" spans="1:62" ht="15" customHeight="1">
      <c r="B42" s="154">
        <v>3</v>
      </c>
      <c r="C42" s="154"/>
      <c r="D42" s="11" t="s">
        <v>272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  <c r="V42" s="11"/>
      <c r="W42" s="12"/>
      <c r="X42" s="12"/>
      <c r="Y42" s="12"/>
      <c r="Z42" s="12"/>
      <c r="AA42" s="12"/>
      <c r="AB42" s="12"/>
      <c r="AC42" s="92"/>
      <c r="AD42" s="11"/>
      <c r="AE42" s="12"/>
      <c r="AF42" s="12"/>
      <c r="AG42" s="12"/>
      <c r="AH42" s="12"/>
      <c r="AI42" s="12"/>
      <c r="AJ42" s="12"/>
      <c r="AK42" s="92"/>
      <c r="AL42" s="11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92"/>
    </row>
    <row r="43" spans="1:62" ht="15" customHeight="1">
      <c r="B43" s="154">
        <v>4</v>
      </c>
      <c r="C43" s="154"/>
      <c r="D43" s="11" t="s">
        <v>273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11"/>
      <c r="W43" s="12"/>
      <c r="X43" s="12"/>
      <c r="Y43" s="12"/>
      <c r="Z43" s="12"/>
      <c r="AA43" s="12"/>
      <c r="AB43" s="12"/>
      <c r="AC43" s="92"/>
      <c r="AD43" s="11"/>
      <c r="AE43" s="12"/>
      <c r="AF43" s="12"/>
      <c r="AG43" s="12"/>
      <c r="AH43" s="12"/>
      <c r="AI43" s="12"/>
      <c r="AJ43" s="12"/>
      <c r="AK43" s="92"/>
      <c r="AL43" s="11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92"/>
    </row>
    <row r="44" spans="1:62" ht="15" customHeight="1">
      <c r="B44" s="154">
        <v>5</v>
      </c>
      <c r="C44" s="154"/>
      <c r="D44" s="11" t="s">
        <v>274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  <c r="V44" s="11"/>
      <c r="W44" s="12"/>
      <c r="X44" s="12"/>
      <c r="Y44" s="12"/>
      <c r="Z44" s="12"/>
      <c r="AA44" s="12"/>
      <c r="AB44" s="12"/>
      <c r="AC44" s="92"/>
      <c r="AD44" s="11"/>
      <c r="AE44" s="12"/>
      <c r="AF44" s="12"/>
      <c r="AG44" s="12"/>
      <c r="AH44" s="12"/>
      <c r="AI44" s="12"/>
      <c r="AJ44" s="12"/>
      <c r="AK44" s="92"/>
      <c r="AL44" s="11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92"/>
    </row>
    <row r="45" spans="1:62" ht="15" customHeight="1">
      <c r="B45" s="154">
        <v>6</v>
      </c>
      <c r="C45" s="154"/>
      <c r="D45" s="11" t="s">
        <v>275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  <c r="V45" s="11"/>
      <c r="W45" s="12"/>
      <c r="X45" s="12"/>
      <c r="Y45" s="12"/>
      <c r="Z45" s="12"/>
      <c r="AA45" s="12"/>
      <c r="AB45" s="12"/>
      <c r="AC45" s="92"/>
      <c r="AD45" s="11"/>
      <c r="AE45" s="12"/>
      <c r="AF45" s="12"/>
      <c r="AG45" s="12"/>
      <c r="AH45" s="12"/>
      <c r="AI45" s="12"/>
      <c r="AJ45" s="12"/>
      <c r="AK45" s="92"/>
      <c r="AL45" s="11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92"/>
    </row>
    <row r="46" spans="1:62" ht="15" customHeight="1">
      <c r="B46" s="154">
        <v>7</v>
      </c>
      <c r="C46" s="154"/>
      <c r="D46" s="11" t="s">
        <v>276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  <c r="V46" s="11"/>
      <c r="W46" s="12"/>
      <c r="X46" s="12"/>
      <c r="Y46" s="12"/>
      <c r="Z46" s="12"/>
      <c r="AA46" s="12"/>
      <c r="AB46" s="12"/>
      <c r="AC46" s="92"/>
      <c r="AD46" s="11"/>
      <c r="AE46" s="12"/>
      <c r="AF46" s="12"/>
      <c r="AG46" s="12"/>
      <c r="AH46" s="12"/>
      <c r="AI46" s="12"/>
      <c r="AJ46" s="12"/>
      <c r="AK46" s="92"/>
      <c r="AL46" s="11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92"/>
    </row>
    <row r="47" spans="1:62" ht="15" customHeight="1">
      <c r="B47" s="154">
        <v>8</v>
      </c>
      <c r="C47" s="154"/>
      <c r="D47" s="11" t="s">
        <v>277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1"/>
      <c r="W47" s="12"/>
      <c r="X47" s="12"/>
      <c r="Y47" s="12"/>
      <c r="Z47" s="12"/>
      <c r="AA47" s="12"/>
      <c r="AB47" s="12"/>
      <c r="AC47" s="92"/>
      <c r="AD47" s="11"/>
      <c r="AE47" s="12"/>
      <c r="AF47" s="12"/>
      <c r="AG47" s="12"/>
      <c r="AH47" s="12"/>
      <c r="AI47" s="12"/>
      <c r="AJ47" s="12"/>
      <c r="AK47" s="92"/>
      <c r="AL47" s="11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92"/>
    </row>
    <row r="48" spans="1:62" ht="15" customHeight="1">
      <c r="B48" s="154">
        <v>9</v>
      </c>
      <c r="C48" s="154"/>
      <c r="D48" s="11" t="s">
        <v>278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  <c r="V48" s="11"/>
      <c r="W48" s="12"/>
      <c r="X48" s="12"/>
      <c r="Y48" s="12"/>
      <c r="Z48" s="12"/>
      <c r="AA48" s="12"/>
      <c r="AB48" s="12"/>
      <c r="AC48" s="92"/>
      <c r="AD48" s="11"/>
      <c r="AE48" s="12"/>
      <c r="AF48" s="12"/>
      <c r="AG48" s="12"/>
      <c r="AH48" s="12"/>
      <c r="AI48" s="12"/>
      <c r="AJ48" s="12"/>
      <c r="AK48" s="92"/>
      <c r="AL48" s="11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92"/>
    </row>
    <row r="49" spans="2:55" ht="15" customHeight="1">
      <c r="B49" s="154">
        <v>10</v>
      </c>
      <c r="C49" s="154"/>
      <c r="D49" s="11" t="s">
        <v>279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  <c r="V49" s="11"/>
      <c r="W49" s="12"/>
      <c r="X49" s="12"/>
      <c r="Y49" s="12"/>
      <c r="Z49" s="12"/>
      <c r="AA49" s="12"/>
      <c r="AB49" s="12"/>
      <c r="AC49" s="92"/>
      <c r="AD49" s="11"/>
      <c r="AE49" s="12"/>
      <c r="AF49" s="12"/>
      <c r="AG49" s="12"/>
      <c r="AH49" s="12"/>
      <c r="AI49" s="12"/>
      <c r="AJ49" s="12"/>
      <c r="AK49" s="92"/>
      <c r="AL49" s="11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92"/>
    </row>
    <row r="50" spans="2:55" ht="15" customHeight="1">
      <c r="B50" s="154">
        <v>11</v>
      </c>
      <c r="C50" s="154"/>
      <c r="D50" s="11" t="s">
        <v>280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V50" s="11"/>
      <c r="W50" s="12"/>
      <c r="X50" s="12"/>
      <c r="Y50" s="12"/>
      <c r="Z50" s="12"/>
      <c r="AA50" s="12"/>
      <c r="AB50" s="12"/>
      <c r="AC50" s="92"/>
      <c r="AD50" s="11"/>
      <c r="AE50" s="12"/>
      <c r="AF50" s="12"/>
      <c r="AG50" s="12"/>
      <c r="AH50" s="12"/>
      <c r="AI50" s="12"/>
      <c r="AJ50" s="12"/>
      <c r="AK50" s="92"/>
      <c r="AL50" s="11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92"/>
    </row>
    <row r="51" spans="2:55" ht="15" customHeight="1">
      <c r="B51" s="154">
        <v>12</v>
      </c>
      <c r="C51" s="154"/>
      <c r="D51" s="11" t="s">
        <v>281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11"/>
      <c r="W51" s="12"/>
      <c r="X51" s="12"/>
      <c r="Y51" s="12"/>
      <c r="Z51" s="12"/>
      <c r="AA51" s="12"/>
      <c r="AB51" s="12"/>
      <c r="AC51" s="92"/>
      <c r="AD51" s="11"/>
      <c r="AE51" s="12"/>
      <c r="AF51" s="12"/>
      <c r="AG51" s="12"/>
      <c r="AH51" s="12"/>
      <c r="AI51" s="12"/>
      <c r="AJ51" s="12"/>
      <c r="AK51" s="92"/>
      <c r="AL51" s="11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92"/>
    </row>
    <row r="52" spans="2:55" ht="15" customHeight="1">
      <c r="B52" s="154">
        <v>13</v>
      </c>
      <c r="C52" s="154"/>
      <c r="D52" s="11" t="s">
        <v>282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11"/>
      <c r="W52" s="12"/>
      <c r="X52" s="12"/>
      <c r="Y52" s="12"/>
      <c r="Z52" s="12"/>
      <c r="AA52" s="12"/>
      <c r="AB52" s="12"/>
      <c r="AC52" s="92"/>
      <c r="AD52" s="11"/>
      <c r="AE52" s="12"/>
      <c r="AF52" s="12"/>
      <c r="AG52" s="12"/>
      <c r="AH52" s="12"/>
      <c r="AI52" s="12"/>
      <c r="AJ52" s="12"/>
      <c r="AK52" s="92"/>
      <c r="AL52" s="11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92"/>
    </row>
    <row r="53" spans="2:55" ht="15" customHeight="1">
      <c r="B53" s="154">
        <v>14</v>
      </c>
      <c r="C53" s="154"/>
      <c r="D53" s="11" t="s">
        <v>283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  <c r="V53" s="11"/>
      <c r="W53" s="12"/>
      <c r="X53" s="12"/>
      <c r="Y53" s="12"/>
      <c r="Z53" s="12"/>
      <c r="AA53" s="12"/>
      <c r="AB53" s="12"/>
      <c r="AC53" s="92"/>
      <c r="AD53" s="11"/>
      <c r="AE53" s="12"/>
      <c r="AF53" s="12"/>
      <c r="AG53" s="12"/>
      <c r="AH53" s="12"/>
      <c r="AI53" s="12"/>
      <c r="AJ53" s="12"/>
      <c r="AK53" s="92"/>
      <c r="AL53" s="11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92"/>
    </row>
    <row r="54" spans="2:55" ht="15" customHeight="1">
      <c r="B54" s="154">
        <v>15</v>
      </c>
      <c r="C54" s="154"/>
      <c r="D54" s="11" t="s">
        <v>284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  <c r="V54" s="11"/>
      <c r="W54" s="12"/>
      <c r="X54" s="12"/>
      <c r="Y54" s="12"/>
      <c r="Z54" s="12"/>
      <c r="AA54" s="12"/>
      <c r="AB54" s="12"/>
      <c r="AC54" s="92"/>
      <c r="AD54" s="11"/>
      <c r="AE54" s="12"/>
      <c r="AF54" s="12"/>
      <c r="AG54" s="12"/>
      <c r="AH54" s="12"/>
      <c r="AI54" s="12"/>
      <c r="AJ54" s="12"/>
      <c r="AK54" s="92"/>
      <c r="AL54" s="11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92"/>
    </row>
    <row r="55" spans="2:55" ht="15" customHeight="1">
      <c r="B55" s="154">
        <v>16</v>
      </c>
      <c r="C55" s="154"/>
      <c r="D55" s="11" t="s">
        <v>285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  <c r="V55" s="11"/>
      <c r="W55" s="12"/>
      <c r="X55" s="12"/>
      <c r="Y55" s="12"/>
      <c r="Z55" s="12"/>
      <c r="AA55" s="12"/>
      <c r="AB55" s="12"/>
      <c r="AC55" s="92"/>
      <c r="AD55" s="11"/>
      <c r="AE55" s="12"/>
      <c r="AF55" s="12"/>
      <c r="AG55" s="12"/>
      <c r="AH55" s="12"/>
      <c r="AI55" s="12"/>
      <c r="AJ55" s="12"/>
      <c r="AK55" s="92"/>
      <c r="AL55" s="11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92"/>
    </row>
    <row r="56" spans="2:55" ht="15" customHeight="1">
      <c r="B56" s="154">
        <v>17</v>
      </c>
      <c r="C56" s="154"/>
      <c r="D56" s="11" t="s">
        <v>286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  <c r="V56" s="11"/>
      <c r="W56" s="12"/>
      <c r="X56" s="12"/>
      <c r="Y56" s="12"/>
      <c r="Z56" s="12"/>
      <c r="AA56" s="12"/>
      <c r="AB56" s="12"/>
      <c r="AC56" s="92"/>
      <c r="AD56" s="11"/>
      <c r="AE56" s="12"/>
      <c r="AF56" s="12"/>
      <c r="AG56" s="12"/>
      <c r="AH56" s="12"/>
      <c r="AI56" s="12"/>
      <c r="AJ56" s="12"/>
      <c r="AK56" s="92"/>
      <c r="AL56" s="11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92"/>
    </row>
    <row r="57" spans="2:55" ht="15" customHeight="1">
      <c r="B57" s="154">
        <v>18</v>
      </c>
      <c r="C57" s="154"/>
      <c r="D57" s="11" t="s">
        <v>287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  <c r="V57" s="11"/>
      <c r="W57" s="12"/>
      <c r="X57" s="12"/>
      <c r="Y57" s="12"/>
      <c r="Z57" s="12"/>
      <c r="AA57" s="12"/>
      <c r="AB57" s="12"/>
      <c r="AC57" s="92"/>
      <c r="AD57" s="11"/>
      <c r="AE57" s="12"/>
      <c r="AF57" s="12"/>
      <c r="AG57" s="12"/>
      <c r="AH57" s="12"/>
      <c r="AI57" s="12"/>
      <c r="AJ57" s="12"/>
      <c r="AK57" s="92"/>
      <c r="AL57" s="11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92"/>
    </row>
    <row r="58" spans="2:55" ht="15" customHeight="1">
      <c r="B58" s="154">
        <v>19</v>
      </c>
      <c r="C58" s="154"/>
      <c r="D58" s="11" t="s">
        <v>288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11"/>
      <c r="W58" s="12"/>
      <c r="X58" s="12"/>
      <c r="Y58" s="12"/>
      <c r="Z58" s="12"/>
      <c r="AA58" s="12"/>
      <c r="AB58" s="12"/>
      <c r="AC58" s="92"/>
      <c r="AD58" s="11"/>
      <c r="AE58" s="12"/>
      <c r="AF58" s="12"/>
      <c r="AG58" s="12"/>
      <c r="AH58" s="12"/>
      <c r="AI58" s="12"/>
      <c r="AJ58" s="12"/>
      <c r="AK58" s="92"/>
      <c r="AL58" s="11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92"/>
    </row>
    <row r="59" spans="2:55" ht="15" customHeight="1">
      <c r="B59" s="154">
        <v>20</v>
      </c>
      <c r="C59" s="154"/>
      <c r="D59" s="11" t="s">
        <v>289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11"/>
      <c r="W59" s="12"/>
      <c r="X59" s="12"/>
      <c r="Y59" s="12"/>
      <c r="Z59" s="12"/>
      <c r="AA59" s="12"/>
      <c r="AB59" s="12"/>
      <c r="AC59" s="92"/>
      <c r="AD59" s="11"/>
      <c r="AE59" s="12"/>
      <c r="AF59" s="12"/>
      <c r="AG59" s="12"/>
      <c r="AH59" s="12"/>
      <c r="AI59" s="12"/>
      <c r="AJ59" s="12"/>
      <c r="AK59" s="92"/>
      <c r="AL59" s="11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92"/>
    </row>
    <row r="60" spans="2:55" ht="15" customHeight="1">
      <c r="B60" s="154">
        <v>21</v>
      </c>
      <c r="C60" s="154"/>
      <c r="D60" s="11" t="s">
        <v>290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11"/>
      <c r="W60" s="12"/>
      <c r="X60" s="12"/>
      <c r="Y60" s="12"/>
      <c r="Z60" s="12"/>
      <c r="AA60" s="12"/>
      <c r="AB60" s="12"/>
      <c r="AC60" s="92"/>
      <c r="AD60" s="11"/>
      <c r="AE60" s="12"/>
      <c r="AF60" s="12"/>
      <c r="AG60" s="12"/>
      <c r="AH60" s="12"/>
      <c r="AI60" s="12"/>
      <c r="AJ60" s="12"/>
      <c r="AK60" s="92"/>
      <c r="AL60" s="11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92"/>
    </row>
    <row r="61" spans="2:55" ht="15" customHeight="1">
      <c r="B61" s="154">
        <v>22</v>
      </c>
      <c r="C61" s="154"/>
      <c r="D61" s="11" t="s">
        <v>291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11"/>
      <c r="W61" s="12"/>
      <c r="X61" s="12"/>
      <c r="Y61" s="12"/>
      <c r="Z61" s="12"/>
      <c r="AA61" s="12"/>
      <c r="AB61" s="12"/>
      <c r="AC61" s="92"/>
      <c r="AD61" s="11"/>
      <c r="AE61" s="12"/>
      <c r="AF61" s="12"/>
      <c r="AG61" s="12"/>
      <c r="AH61" s="12"/>
      <c r="AI61" s="12"/>
      <c r="AJ61" s="12"/>
      <c r="AK61" s="92"/>
      <c r="AL61" s="11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92"/>
    </row>
    <row r="62" spans="2:55" ht="15" customHeight="1">
      <c r="B62" s="154">
        <v>23</v>
      </c>
      <c r="C62" s="154"/>
      <c r="D62" s="11" t="s">
        <v>292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11"/>
      <c r="W62" s="12"/>
      <c r="X62" s="12"/>
      <c r="Y62" s="12"/>
      <c r="Z62" s="12"/>
      <c r="AA62" s="12"/>
      <c r="AB62" s="12"/>
      <c r="AC62" s="92"/>
      <c r="AD62" s="11"/>
      <c r="AE62" s="12"/>
      <c r="AF62" s="12"/>
      <c r="AG62" s="12"/>
      <c r="AH62" s="12"/>
      <c r="AI62" s="12"/>
      <c r="AJ62" s="12"/>
      <c r="AK62" s="92"/>
      <c r="AL62" s="11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92"/>
    </row>
    <row r="63" spans="2:55" ht="15" customHeight="1">
      <c r="B63" s="154">
        <v>24</v>
      </c>
      <c r="C63" s="154"/>
      <c r="D63" s="11" t="s">
        <v>293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11"/>
      <c r="W63" s="12"/>
      <c r="X63" s="12"/>
      <c r="Y63" s="12"/>
      <c r="Z63" s="12"/>
      <c r="AA63" s="12"/>
      <c r="AB63" s="12"/>
      <c r="AC63" s="92"/>
      <c r="AD63" s="11"/>
      <c r="AE63" s="12"/>
      <c r="AF63" s="12"/>
      <c r="AG63" s="12"/>
      <c r="AH63" s="12"/>
      <c r="AI63" s="12"/>
      <c r="AJ63" s="12"/>
      <c r="AK63" s="92"/>
      <c r="AL63" s="11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92"/>
    </row>
    <row r="64" spans="2:55" ht="15" customHeight="1">
      <c r="B64" s="154">
        <v>25</v>
      </c>
      <c r="C64" s="154"/>
      <c r="D64" s="11" t="s">
        <v>294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11"/>
      <c r="W64" s="12"/>
      <c r="X64" s="12"/>
      <c r="Y64" s="12"/>
      <c r="Z64" s="12"/>
      <c r="AA64" s="12"/>
      <c r="AB64" s="12"/>
      <c r="AC64" s="92"/>
      <c r="AD64" s="11"/>
      <c r="AE64" s="12"/>
      <c r="AF64" s="12"/>
      <c r="AG64" s="12"/>
      <c r="AH64" s="12"/>
      <c r="AI64" s="12"/>
      <c r="AJ64" s="12"/>
      <c r="AK64" s="92"/>
      <c r="AL64" s="11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92"/>
    </row>
    <row r="65" spans="2:55" ht="15" customHeight="1">
      <c r="B65" s="154">
        <v>26</v>
      </c>
      <c r="C65" s="154"/>
      <c r="D65" s="11" t="s">
        <v>295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11"/>
      <c r="W65" s="12"/>
      <c r="X65" s="12"/>
      <c r="Y65" s="12"/>
      <c r="Z65" s="12"/>
      <c r="AA65" s="12"/>
      <c r="AB65" s="12"/>
      <c r="AC65" s="92"/>
      <c r="AD65" s="11"/>
      <c r="AE65" s="12"/>
      <c r="AF65" s="12"/>
      <c r="AG65" s="12"/>
      <c r="AH65" s="12"/>
      <c r="AI65" s="12"/>
      <c r="AJ65" s="12"/>
      <c r="AK65" s="92"/>
      <c r="AL65" s="11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92"/>
    </row>
    <row r="66" spans="2:55" ht="15" customHeight="1">
      <c r="B66" s="154">
        <v>27</v>
      </c>
      <c r="C66" s="154"/>
      <c r="D66" s="11" t="s">
        <v>296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11"/>
      <c r="W66" s="12"/>
      <c r="X66" s="12"/>
      <c r="Y66" s="12"/>
      <c r="Z66" s="12"/>
      <c r="AA66" s="12"/>
      <c r="AB66" s="12"/>
      <c r="AC66" s="92"/>
      <c r="AD66" s="11"/>
      <c r="AE66" s="12"/>
      <c r="AF66" s="12"/>
      <c r="AG66" s="12"/>
      <c r="AH66" s="12"/>
      <c r="AI66" s="12"/>
      <c r="AJ66" s="12"/>
      <c r="AK66" s="92"/>
      <c r="AL66" s="11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92"/>
    </row>
    <row r="67" spans="2:55" ht="15" customHeight="1">
      <c r="B67" s="154">
        <v>28</v>
      </c>
      <c r="C67" s="154"/>
      <c r="D67" s="11" t="s">
        <v>297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11"/>
      <c r="W67" s="12"/>
      <c r="X67" s="12"/>
      <c r="Y67" s="12"/>
      <c r="Z67" s="12"/>
      <c r="AA67" s="12"/>
      <c r="AB67" s="12"/>
      <c r="AC67" s="92"/>
      <c r="AD67" s="11"/>
      <c r="AE67" s="12"/>
      <c r="AF67" s="12"/>
      <c r="AG67" s="12"/>
      <c r="AH67" s="12"/>
      <c r="AI67" s="12"/>
      <c r="AJ67" s="12"/>
      <c r="AK67" s="92"/>
      <c r="AL67" s="11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92"/>
    </row>
    <row r="68" spans="2:55" ht="15" customHeight="1">
      <c r="B68" s="154">
        <v>29</v>
      </c>
      <c r="C68" s="154"/>
      <c r="D68" s="11" t="s">
        <v>298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11"/>
      <c r="W68" s="12"/>
      <c r="X68" s="12"/>
      <c r="Y68" s="12"/>
      <c r="Z68" s="12"/>
      <c r="AA68" s="12"/>
      <c r="AB68" s="12"/>
      <c r="AC68" s="92"/>
      <c r="AD68" s="11"/>
      <c r="AE68" s="12"/>
      <c r="AF68" s="12"/>
      <c r="AG68" s="12"/>
      <c r="AH68" s="12"/>
      <c r="AI68" s="12"/>
      <c r="AJ68" s="12"/>
      <c r="AK68" s="92"/>
      <c r="AL68" s="11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92"/>
    </row>
    <row r="69" spans="2:55" ht="15" customHeight="1">
      <c r="B69" s="154">
        <v>30</v>
      </c>
      <c r="C69" s="154"/>
      <c r="D69" s="11" t="s">
        <v>299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  <c r="V69" s="11"/>
      <c r="W69" s="12"/>
      <c r="X69" s="12"/>
      <c r="Y69" s="12"/>
      <c r="Z69" s="12"/>
      <c r="AA69" s="12"/>
      <c r="AB69" s="12"/>
      <c r="AC69" s="92"/>
      <c r="AD69" s="11"/>
      <c r="AE69" s="12"/>
      <c r="AF69" s="12"/>
      <c r="AG69" s="12"/>
      <c r="AH69" s="12"/>
      <c r="AI69" s="12"/>
      <c r="AJ69" s="12"/>
      <c r="AK69" s="92"/>
      <c r="AL69" s="11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92"/>
    </row>
    <row r="70" spans="2:55" ht="15" customHeight="1">
      <c r="B70" s="154">
        <v>31</v>
      </c>
      <c r="C70" s="154"/>
      <c r="D70" s="11" t="s">
        <v>300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  <c r="V70" s="11"/>
      <c r="W70" s="12"/>
      <c r="X70" s="12"/>
      <c r="Y70" s="12"/>
      <c r="Z70" s="12"/>
      <c r="AA70" s="12"/>
      <c r="AB70" s="12"/>
      <c r="AC70" s="92"/>
      <c r="AD70" s="11"/>
      <c r="AE70" s="12"/>
      <c r="AF70" s="12"/>
      <c r="AG70" s="12"/>
      <c r="AH70" s="12"/>
      <c r="AI70" s="12"/>
      <c r="AJ70" s="12"/>
      <c r="AK70" s="92"/>
      <c r="AL70" s="11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92"/>
    </row>
    <row r="71" spans="2:55" ht="15" customHeight="1">
      <c r="B71" s="154">
        <v>32</v>
      </c>
      <c r="C71" s="154"/>
      <c r="D71" s="11" t="s">
        <v>301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  <c r="V71" s="11"/>
      <c r="W71" s="12"/>
      <c r="X71" s="12"/>
      <c r="Y71" s="12"/>
      <c r="Z71" s="12"/>
      <c r="AA71" s="12"/>
      <c r="AB71" s="12"/>
      <c r="AC71" s="92"/>
      <c r="AD71" s="11"/>
      <c r="AE71" s="12"/>
      <c r="AF71" s="12"/>
      <c r="AG71" s="12"/>
      <c r="AH71" s="12"/>
      <c r="AI71" s="12"/>
      <c r="AJ71" s="12"/>
      <c r="AK71" s="92"/>
      <c r="AL71" s="11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92"/>
    </row>
    <row r="72" spans="2:55" ht="15" customHeight="1">
      <c r="B72" s="154">
        <v>33</v>
      </c>
      <c r="C72" s="154"/>
      <c r="D72" s="11" t="s">
        <v>302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  <c r="V72" s="11"/>
      <c r="W72" s="12"/>
      <c r="X72" s="12"/>
      <c r="Y72" s="12"/>
      <c r="Z72" s="12"/>
      <c r="AA72" s="12"/>
      <c r="AB72" s="12"/>
      <c r="AC72" s="92"/>
      <c r="AD72" s="11"/>
      <c r="AE72" s="12"/>
      <c r="AF72" s="12"/>
      <c r="AG72" s="12"/>
      <c r="AH72" s="12"/>
      <c r="AI72" s="12"/>
      <c r="AJ72" s="12"/>
      <c r="AK72" s="92"/>
      <c r="AL72" s="11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92"/>
    </row>
    <row r="73" spans="2:55" ht="15" customHeight="1">
      <c r="B73" s="154">
        <v>34</v>
      </c>
      <c r="C73" s="154"/>
      <c r="D73" s="11" t="s">
        <v>303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  <c r="V73" s="11"/>
      <c r="W73" s="12"/>
      <c r="X73" s="12"/>
      <c r="Y73" s="12"/>
      <c r="Z73" s="12"/>
      <c r="AA73" s="12"/>
      <c r="AB73" s="12"/>
      <c r="AC73" s="92"/>
      <c r="AD73" s="11"/>
      <c r="AE73" s="12"/>
      <c r="AF73" s="12"/>
      <c r="AG73" s="12"/>
      <c r="AH73" s="12"/>
      <c r="AI73" s="12"/>
      <c r="AJ73" s="12"/>
      <c r="AK73" s="92"/>
      <c r="AL73" s="11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92"/>
    </row>
    <row r="74" spans="2:55" ht="15" customHeight="1">
      <c r="B74" s="154">
        <v>35</v>
      </c>
      <c r="C74" s="154"/>
      <c r="D74" s="11" t="s">
        <v>304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  <c r="V74" s="11"/>
      <c r="W74" s="12"/>
      <c r="X74" s="12"/>
      <c r="Y74" s="12"/>
      <c r="Z74" s="12"/>
      <c r="AA74" s="12"/>
      <c r="AB74" s="12"/>
      <c r="AC74" s="92"/>
      <c r="AD74" s="11"/>
      <c r="AE74" s="12"/>
      <c r="AF74" s="12"/>
      <c r="AG74" s="12"/>
      <c r="AH74" s="12"/>
      <c r="AI74" s="12"/>
      <c r="AJ74" s="12"/>
      <c r="AK74" s="92"/>
      <c r="AL74" s="11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92"/>
    </row>
    <row r="75" spans="2:55" ht="15" customHeight="1">
      <c r="B75" s="154">
        <v>36</v>
      </c>
      <c r="C75" s="154"/>
      <c r="D75" s="11" t="s">
        <v>305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  <c r="V75" s="11"/>
      <c r="W75" s="12"/>
      <c r="X75" s="12"/>
      <c r="Y75" s="12"/>
      <c r="Z75" s="12"/>
      <c r="AA75" s="12"/>
      <c r="AB75" s="12"/>
      <c r="AC75" s="92"/>
      <c r="AD75" s="11"/>
      <c r="AE75" s="12"/>
      <c r="AF75" s="12"/>
      <c r="AG75" s="12"/>
      <c r="AH75" s="12"/>
      <c r="AI75" s="12"/>
      <c r="AJ75" s="12"/>
      <c r="AK75" s="92"/>
      <c r="AL75" s="11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92"/>
    </row>
    <row r="76" spans="2:55" ht="15" customHeight="1">
      <c r="B76" s="154">
        <v>37</v>
      </c>
      <c r="C76" s="154"/>
      <c r="D76" s="11" t="s">
        <v>306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  <c r="V76" s="11"/>
      <c r="W76" s="12"/>
      <c r="X76" s="12"/>
      <c r="Y76" s="12"/>
      <c r="Z76" s="12"/>
      <c r="AA76" s="12"/>
      <c r="AB76" s="12"/>
      <c r="AC76" s="92"/>
      <c r="AD76" s="11"/>
      <c r="AE76" s="12"/>
      <c r="AF76" s="12"/>
      <c r="AG76" s="12"/>
      <c r="AH76" s="12"/>
      <c r="AI76" s="12"/>
      <c r="AJ76" s="12"/>
      <c r="AK76" s="92"/>
      <c r="AL76" s="11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92"/>
    </row>
    <row r="77" spans="2:55" ht="15" customHeight="1">
      <c r="B77" s="154">
        <v>38</v>
      </c>
      <c r="C77" s="154"/>
      <c r="D77" s="11" t="s">
        <v>307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  <c r="V77" s="11"/>
      <c r="W77" s="12"/>
      <c r="X77" s="12"/>
      <c r="Y77" s="12"/>
      <c r="Z77" s="12"/>
      <c r="AA77" s="12"/>
      <c r="AB77" s="12"/>
      <c r="AC77" s="92"/>
      <c r="AD77" s="11"/>
      <c r="AE77" s="12"/>
      <c r="AF77" s="12"/>
      <c r="AG77" s="12"/>
      <c r="AH77" s="12"/>
      <c r="AI77" s="12"/>
      <c r="AJ77" s="12"/>
      <c r="AK77" s="92"/>
      <c r="AL77" s="11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92"/>
    </row>
    <row r="78" spans="2:55" ht="15" customHeight="1">
      <c r="B78" s="154">
        <v>39</v>
      </c>
      <c r="C78" s="154"/>
      <c r="D78" s="11" t="s">
        <v>308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  <c r="V78" s="11"/>
      <c r="W78" s="12"/>
      <c r="X78" s="12"/>
      <c r="Y78" s="12"/>
      <c r="Z78" s="12"/>
      <c r="AA78" s="12"/>
      <c r="AB78" s="12"/>
      <c r="AC78" s="92"/>
      <c r="AD78" s="11"/>
      <c r="AE78" s="12"/>
      <c r="AF78" s="12"/>
      <c r="AG78" s="12"/>
      <c r="AH78" s="12"/>
      <c r="AI78" s="12"/>
      <c r="AJ78" s="12"/>
      <c r="AK78" s="92"/>
      <c r="AL78" s="11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92"/>
    </row>
    <row r="79" spans="2:55" ht="15" customHeight="1">
      <c r="B79" s="154">
        <v>40</v>
      </c>
      <c r="C79" s="154"/>
      <c r="D79" s="11" t="s">
        <v>309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3"/>
      <c r="V79" s="11"/>
      <c r="W79" s="12"/>
      <c r="X79" s="12"/>
      <c r="Y79" s="12"/>
      <c r="Z79" s="12"/>
      <c r="AA79" s="12"/>
      <c r="AB79" s="12"/>
      <c r="AC79" s="92"/>
      <c r="AD79" s="11"/>
      <c r="AE79" s="12"/>
      <c r="AF79" s="12"/>
      <c r="AG79" s="12"/>
      <c r="AH79" s="12"/>
      <c r="AI79" s="12"/>
      <c r="AJ79" s="12"/>
      <c r="AK79" s="92"/>
      <c r="AL79" s="11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92"/>
    </row>
    <row r="80" spans="2:55" ht="15" customHeight="1">
      <c r="B80" s="154">
        <v>41</v>
      </c>
      <c r="C80" s="154"/>
      <c r="D80" s="11" t="s">
        <v>310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  <c r="V80" s="11"/>
      <c r="W80" s="12"/>
      <c r="X80" s="12"/>
      <c r="Y80" s="12"/>
      <c r="Z80" s="12"/>
      <c r="AA80" s="12"/>
      <c r="AB80" s="12"/>
      <c r="AC80" s="92"/>
      <c r="AD80" s="11"/>
      <c r="AE80" s="12"/>
      <c r="AF80" s="12"/>
      <c r="AG80" s="12"/>
      <c r="AH80" s="12"/>
      <c r="AI80" s="12"/>
      <c r="AJ80" s="12"/>
      <c r="AK80" s="92"/>
      <c r="AL80" s="11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92"/>
    </row>
    <row r="81" spans="2:55" ht="15" customHeight="1">
      <c r="B81" s="154">
        <v>42</v>
      </c>
      <c r="C81" s="154"/>
      <c r="D81" s="11" t="s">
        <v>311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  <c r="V81" s="11"/>
      <c r="W81" s="12"/>
      <c r="X81" s="12"/>
      <c r="Y81" s="12"/>
      <c r="Z81" s="12"/>
      <c r="AA81" s="12"/>
      <c r="AB81" s="12"/>
      <c r="AC81" s="92"/>
      <c r="AD81" s="11"/>
      <c r="AE81" s="12"/>
      <c r="AF81" s="12"/>
      <c r="AG81" s="12"/>
      <c r="AH81" s="12"/>
      <c r="AI81" s="12"/>
      <c r="AJ81" s="12"/>
      <c r="AK81" s="92"/>
      <c r="AL81" s="11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92"/>
    </row>
    <row r="82" spans="2:55" ht="15" customHeight="1">
      <c r="B82" s="154">
        <v>43</v>
      </c>
      <c r="C82" s="154"/>
      <c r="D82" s="11" t="s">
        <v>312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11"/>
      <c r="W82" s="12"/>
      <c r="X82" s="12"/>
      <c r="Y82" s="12"/>
      <c r="Z82" s="12"/>
      <c r="AA82" s="12"/>
      <c r="AB82" s="12"/>
      <c r="AC82" s="92"/>
      <c r="AD82" s="11"/>
      <c r="AE82" s="12"/>
      <c r="AF82" s="12"/>
      <c r="AG82" s="12"/>
      <c r="AH82" s="12"/>
      <c r="AI82" s="12"/>
      <c r="AJ82" s="12"/>
      <c r="AK82" s="92"/>
      <c r="AL82" s="11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92"/>
    </row>
    <row r="83" spans="2:55" ht="15" customHeight="1">
      <c r="B83" s="154">
        <v>44</v>
      </c>
      <c r="C83" s="154"/>
      <c r="D83" s="11" t="s">
        <v>313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11"/>
      <c r="W83" s="12"/>
      <c r="X83" s="12"/>
      <c r="Y83" s="12"/>
      <c r="Z83" s="12"/>
      <c r="AA83" s="12"/>
      <c r="AB83" s="12"/>
      <c r="AC83" s="92"/>
      <c r="AD83" s="11"/>
      <c r="AE83" s="12"/>
      <c r="AF83" s="12"/>
      <c r="AG83" s="12"/>
      <c r="AH83" s="12"/>
      <c r="AI83" s="12"/>
      <c r="AJ83" s="12"/>
      <c r="AK83" s="92"/>
      <c r="AL83" s="11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92"/>
    </row>
    <row r="84" spans="2:55" ht="15" customHeight="1">
      <c r="B84" s="154">
        <v>45</v>
      </c>
      <c r="C84" s="154"/>
      <c r="D84" s="11" t="s">
        <v>314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  <c r="V84" s="11"/>
      <c r="W84" s="12"/>
      <c r="X84" s="12"/>
      <c r="Y84" s="12"/>
      <c r="Z84" s="12"/>
      <c r="AA84" s="12"/>
      <c r="AB84" s="12"/>
      <c r="AC84" s="92"/>
      <c r="AD84" s="11"/>
      <c r="AE84" s="12"/>
      <c r="AF84" s="12"/>
      <c r="AG84" s="12"/>
      <c r="AH84" s="12"/>
      <c r="AI84" s="12"/>
      <c r="AJ84" s="12"/>
      <c r="AK84" s="92"/>
      <c r="AL84" s="11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92"/>
    </row>
    <row r="85" spans="2:55" ht="15" customHeight="1">
      <c r="B85" s="154">
        <v>46</v>
      </c>
      <c r="C85" s="154"/>
      <c r="D85" s="11" t="s">
        <v>315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11"/>
      <c r="W85" s="12"/>
      <c r="X85" s="12"/>
      <c r="Y85" s="12"/>
      <c r="Z85" s="12"/>
      <c r="AA85" s="12"/>
      <c r="AB85" s="12"/>
      <c r="AC85" s="92"/>
      <c r="AD85" s="11"/>
      <c r="AE85" s="12"/>
      <c r="AF85" s="12"/>
      <c r="AG85" s="12"/>
      <c r="AH85" s="12"/>
      <c r="AI85" s="12"/>
      <c r="AJ85" s="12"/>
      <c r="AK85" s="92"/>
      <c r="AL85" s="11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92"/>
    </row>
    <row r="86" spans="2:55" ht="15" customHeight="1">
      <c r="B86" s="154">
        <v>47</v>
      </c>
      <c r="C86" s="154"/>
      <c r="D86" s="11" t="s">
        <v>316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11"/>
      <c r="W86" s="12"/>
      <c r="X86" s="12"/>
      <c r="Y86" s="12"/>
      <c r="Z86" s="12"/>
      <c r="AA86" s="12"/>
      <c r="AB86" s="12"/>
      <c r="AC86" s="92"/>
      <c r="AD86" s="11"/>
      <c r="AE86" s="12"/>
      <c r="AF86" s="12"/>
      <c r="AG86" s="12"/>
      <c r="AH86" s="12"/>
      <c r="AI86" s="12"/>
      <c r="AJ86" s="12"/>
      <c r="AK86" s="92"/>
      <c r="AL86" s="11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92"/>
    </row>
    <row r="87" spans="2:55" ht="15" customHeight="1">
      <c r="B87" s="154">
        <v>48</v>
      </c>
      <c r="C87" s="154"/>
      <c r="D87" s="11" t="s">
        <v>318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11"/>
      <c r="W87" s="12"/>
      <c r="X87" s="12"/>
      <c r="Y87" s="12"/>
      <c r="Z87" s="12"/>
      <c r="AA87" s="12"/>
      <c r="AB87" s="12"/>
      <c r="AC87" s="92"/>
      <c r="AD87" s="11"/>
      <c r="AE87" s="12"/>
      <c r="AF87" s="12"/>
      <c r="AG87" s="12"/>
      <c r="AH87" s="12"/>
      <c r="AI87" s="12"/>
      <c r="AJ87" s="12"/>
      <c r="AK87" s="92"/>
      <c r="AL87" s="11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92"/>
    </row>
    <row r="88" spans="2:55" ht="15" customHeight="1">
      <c r="B88" s="154">
        <v>49</v>
      </c>
      <c r="C88" s="154"/>
      <c r="D88" s="11" t="s">
        <v>317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11"/>
      <c r="W88" s="12"/>
      <c r="X88" s="12"/>
      <c r="Y88" s="12"/>
      <c r="Z88" s="12"/>
      <c r="AA88" s="12"/>
      <c r="AB88" s="12"/>
      <c r="AC88" s="92"/>
      <c r="AD88" s="11"/>
      <c r="AE88" s="12"/>
      <c r="AF88" s="12"/>
      <c r="AG88" s="12"/>
      <c r="AH88" s="12"/>
      <c r="AI88" s="12"/>
      <c r="AJ88" s="12"/>
      <c r="AK88" s="92"/>
      <c r="AL88" s="11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92"/>
    </row>
    <row r="89" spans="2:55" ht="15" customHeight="1">
      <c r="B89" s="154">
        <v>50</v>
      </c>
      <c r="C89" s="154"/>
      <c r="D89" s="11" t="s">
        <v>319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3"/>
      <c r="V89" s="11"/>
      <c r="W89" s="12"/>
      <c r="X89" s="12"/>
      <c r="Y89" s="12"/>
      <c r="Z89" s="12"/>
      <c r="AA89" s="12"/>
      <c r="AB89" s="12"/>
      <c r="AC89" s="92"/>
      <c r="AD89" s="11"/>
      <c r="AE89" s="12"/>
      <c r="AF89" s="12"/>
      <c r="AG89" s="12"/>
      <c r="AH89" s="12"/>
      <c r="AI89" s="12"/>
      <c r="AJ89" s="12"/>
      <c r="AK89" s="92"/>
      <c r="AL89" s="11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92"/>
    </row>
    <row r="90" spans="2:55" ht="15" customHeight="1">
      <c r="B90" s="154">
        <v>51</v>
      </c>
      <c r="C90" s="154"/>
      <c r="D90" s="11" t="s">
        <v>320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11"/>
      <c r="W90" s="12"/>
      <c r="X90" s="12"/>
      <c r="Y90" s="12"/>
      <c r="Z90" s="12"/>
      <c r="AA90" s="12"/>
      <c r="AB90" s="12"/>
      <c r="AC90" s="92"/>
      <c r="AD90" s="11"/>
      <c r="AE90" s="12"/>
      <c r="AF90" s="12"/>
      <c r="AG90" s="12"/>
      <c r="AH90" s="12"/>
      <c r="AI90" s="12"/>
      <c r="AJ90" s="12"/>
      <c r="AK90" s="92"/>
      <c r="AL90" s="11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92"/>
    </row>
    <row r="91" spans="2:55" ht="15" customHeight="1">
      <c r="B91" s="154">
        <v>52</v>
      </c>
      <c r="C91" s="154"/>
      <c r="D91" s="11" t="s">
        <v>321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  <c r="V91" s="11"/>
      <c r="W91" s="12"/>
      <c r="X91" s="12"/>
      <c r="Y91" s="12"/>
      <c r="Z91" s="12"/>
      <c r="AA91" s="12"/>
      <c r="AB91" s="12"/>
      <c r="AC91" s="92"/>
      <c r="AD91" s="11"/>
      <c r="AE91" s="12"/>
      <c r="AF91" s="12"/>
      <c r="AG91" s="12"/>
      <c r="AH91" s="12"/>
      <c r="AI91" s="12"/>
      <c r="AJ91" s="12"/>
      <c r="AK91" s="92"/>
      <c r="AL91" s="11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92"/>
    </row>
    <row r="92" spans="2:55" ht="15" customHeight="1">
      <c r="B92" s="154">
        <v>53</v>
      </c>
      <c r="C92" s="154"/>
      <c r="D92" s="11" t="s">
        <v>322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11"/>
      <c r="W92" s="12"/>
      <c r="X92" s="12"/>
      <c r="Y92" s="12"/>
      <c r="Z92" s="12"/>
      <c r="AA92" s="12"/>
      <c r="AB92" s="12"/>
      <c r="AC92" s="92"/>
      <c r="AD92" s="11"/>
      <c r="AE92" s="12"/>
      <c r="AF92" s="12"/>
      <c r="AG92" s="12"/>
      <c r="AH92" s="12"/>
      <c r="AI92" s="12"/>
      <c r="AJ92" s="12"/>
      <c r="AK92" s="92"/>
      <c r="AL92" s="11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92"/>
    </row>
    <row r="93" spans="2:55" ht="15" customHeight="1">
      <c r="B93" s="154">
        <v>54</v>
      </c>
      <c r="C93" s="154"/>
      <c r="D93" s="11" t="s">
        <v>323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11"/>
      <c r="W93" s="12"/>
      <c r="X93" s="12"/>
      <c r="Y93" s="12"/>
      <c r="Z93" s="12"/>
      <c r="AA93" s="12"/>
      <c r="AB93" s="12"/>
      <c r="AC93" s="92"/>
      <c r="AD93" s="11"/>
      <c r="AE93" s="12"/>
      <c r="AF93" s="12"/>
      <c r="AG93" s="12"/>
      <c r="AH93" s="12"/>
      <c r="AI93" s="12"/>
      <c r="AJ93" s="12"/>
      <c r="AK93" s="92"/>
      <c r="AL93" s="11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92"/>
    </row>
    <row r="94" spans="2:55" ht="15" customHeight="1">
      <c r="B94" s="154">
        <v>55</v>
      </c>
      <c r="C94" s="154"/>
      <c r="D94" s="11" t="s">
        <v>325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94"/>
      <c r="W94" s="73"/>
      <c r="X94" s="73"/>
      <c r="Y94" s="73"/>
      <c r="Z94" s="73"/>
      <c r="AA94" s="73"/>
      <c r="AB94" s="73"/>
      <c r="AC94" s="92"/>
      <c r="AD94" s="94"/>
      <c r="AE94" s="73"/>
      <c r="AF94" s="73"/>
      <c r="AG94" s="73"/>
      <c r="AH94" s="73"/>
      <c r="AI94" s="73"/>
      <c r="AJ94" s="73"/>
      <c r="AK94" s="92"/>
      <c r="AL94" s="94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92"/>
    </row>
  </sheetData>
  <mergeCells count="100">
    <mergeCell ref="B16:C16"/>
    <mergeCell ref="B17:C17"/>
    <mergeCell ref="B21:C21"/>
    <mergeCell ref="B19:C19"/>
    <mergeCell ref="B20:C20"/>
    <mergeCell ref="B15:C15"/>
    <mergeCell ref="B5:C5"/>
    <mergeCell ref="B6:C6"/>
    <mergeCell ref="D5:R5"/>
    <mergeCell ref="B7:C7"/>
    <mergeCell ref="B11:H11"/>
    <mergeCell ref="I11:AD11"/>
    <mergeCell ref="B13:C13"/>
    <mergeCell ref="D12:U12"/>
    <mergeCell ref="AD12:AK12"/>
    <mergeCell ref="V12:AC12"/>
    <mergeCell ref="B14:C14"/>
    <mergeCell ref="B12:C12"/>
    <mergeCell ref="B26:C26"/>
    <mergeCell ref="B18:C18"/>
    <mergeCell ref="B23:C23"/>
    <mergeCell ref="B24:C24"/>
    <mergeCell ref="B25:C25"/>
    <mergeCell ref="B22:C22"/>
    <mergeCell ref="B40:C40"/>
    <mergeCell ref="B39:C39"/>
    <mergeCell ref="D39:U39"/>
    <mergeCell ref="V39:AC39"/>
    <mergeCell ref="AD39:AK39"/>
    <mergeCell ref="B42:C42"/>
    <mergeCell ref="B41:C41"/>
    <mergeCell ref="B48:C48"/>
    <mergeCell ref="B46:C46"/>
    <mergeCell ref="B47:C47"/>
    <mergeCell ref="B44:C44"/>
    <mergeCell ref="B45:C45"/>
    <mergeCell ref="B43:C43"/>
    <mergeCell ref="B49:C49"/>
    <mergeCell ref="B50:C50"/>
    <mergeCell ref="B51:C51"/>
    <mergeCell ref="B52:C52"/>
    <mergeCell ref="B56:C56"/>
    <mergeCell ref="B53:C53"/>
    <mergeCell ref="B54:C54"/>
    <mergeCell ref="B55:C55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C79"/>
    <mergeCell ref="B80:C80"/>
    <mergeCell ref="B81:C81"/>
    <mergeCell ref="B72:C72"/>
    <mergeCell ref="B73:C73"/>
    <mergeCell ref="B74:C74"/>
    <mergeCell ref="B75:C75"/>
    <mergeCell ref="B76:C76"/>
    <mergeCell ref="D40:BC40"/>
    <mergeCell ref="B92:C92"/>
    <mergeCell ref="B93:C93"/>
    <mergeCell ref="B94:C94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AL5:BC5"/>
    <mergeCell ref="A1:BD1"/>
    <mergeCell ref="AS12:BC12"/>
    <mergeCell ref="AL12:AR12"/>
    <mergeCell ref="AL39:BC39"/>
    <mergeCell ref="B28:C28"/>
    <mergeCell ref="B29:C29"/>
    <mergeCell ref="B30:C30"/>
    <mergeCell ref="B31:C31"/>
    <mergeCell ref="B32:C32"/>
    <mergeCell ref="B33:C33"/>
    <mergeCell ref="B37:W37"/>
    <mergeCell ref="B38:W38"/>
    <mergeCell ref="X37:AR37"/>
    <mergeCell ref="X38:AR38"/>
    <mergeCell ref="B27:C27"/>
  </mergeCells>
  <phoneticPr fontId="1"/>
  <pageMargins left="0.23622047244094491" right="0.23622047244094491" top="0.31496062992125984" bottom="0.27559055118110237" header="0.35433070866141736" footer="0.15748031496062992"/>
  <pageSetup paperSize="9" scale="29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3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2" ht="28.5">
      <c r="A1" s="139" t="str">
        <f ca="1">RIGHT(CELL("filename",A1),LEN(CELL("filename",A1))-FIND("]",CELL("filename",A1)))</f>
        <v>画面定義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</row>
    <row r="2" spans="1:52" ht="15" customHeight="1">
      <c r="A2" s="2"/>
      <c r="B2" s="2"/>
      <c r="C2" s="2"/>
      <c r="D2" s="2"/>
      <c r="E2" s="2"/>
      <c r="F2" s="2"/>
      <c r="G2" s="2"/>
      <c r="H2" s="2"/>
    </row>
    <row r="3" spans="1:52" ht="19.5">
      <c r="A3" s="3" t="s">
        <v>29</v>
      </c>
    </row>
    <row r="4" spans="1:52" ht="15" customHeight="1">
      <c r="A4" s="2"/>
      <c r="B4" s="2"/>
      <c r="C4" s="2"/>
      <c r="D4" s="2"/>
      <c r="E4" s="2"/>
      <c r="F4" s="2"/>
      <c r="G4" s="2"/>
      <c r="H4" s="2"/>
    </row>
    <row r="5" spans="1:52" ht="15" customHeight="1">
      <c r="A5" s="2"/>
      <c r="B5" s="2"/>
      <c r="C5" s="2"/>
      <c r="D5" s="2"/>
      <c r="E5" s="2"/>
      <c r="F5" s="2"/>
      <c r="G5" s="2"/>
      <c r="H5" s="2"/>
    </row>
    <row r="6" spans="1:52" ht="15" customHeight="1">
      <c r="A6" s="2"/>
      <c r="B6" s="2"/>
      <c r="C6" s="2"/>
      <c r="D6" s="2"/>
      <c r="E6" s="2"/>
      <c r="F6" s="2"/>
      <c r="G6" s="2"/>
      <c r="H6" s="2"/>
    </row>
    <row r="7" spans="1:52" ht="15" customHeight="1">
      <c r="A7" s="2"/>
      <c r="B7" s="2"/>
      <c r="C7" s="2"/>
      <c r="D7" s="2"/>
      <c r="E7" s="2"/>
      <c r="F7" s="2"/>
      <c r="G7" s="2"/>
      <c r="H7" s="2"/>
    </row>
    <row r="8" spans="1:52" ht="15" customHeight="1">
      <c r="A8" s="2"/>
      <c r="B8" s="2"/>
      <c r="C8" s="2"/>
      <c r="D8" s="2"/>
      <c r="E8" s="2"/>
      <c r="F8" s="2"/>
      <c r="G8" s="2"/>
      <c r="H8" s="2"/>
    </row>
    <row r="9" spans="1:52" ht="15" customHeight="1">
      <c r="A9" s="2"/>
      <c r="B9" s="2"/>
      <c r="C9" s="2"/>
      <c r="D9" s="2"/>
      <c r="E9" s="2"/>
      <c r="F9" s="2"/>
      <c r="G9" s="2"/>
      <c r="H9" s="2"/>
    </row>
    <row r="10" spans="1:52" ht="15" customHeight="1">
      <c r="A10" s="2"/>
      <c r="B10" s="2"/>
      <c r="C10" s="2"/>
      <c r="D10" s="2"/>
      <c r="E10" s="2"/>
      <c r="F10" s="2"/>
      <c r="G10" s="2"/>
      <c r="H10" s="2"/>
    </row>
    <row r="11" spans="1:52" ht="15" customHeight="1">
      <c r="A11" s="2"/>
      <c r="B11" s="2"/>
      <c r="C11" s="2"/>
      <c r="D11" s="2"/>
      <c r="E11" s="2"/>
      <c r="F11" s="2"/>
      <c r="G11" s="2"/>
      <c r="H11" s="2"/>
    </row>
    <row r="12" spans="1:52" ht="15" customHeight="1">
      <c r="A12" s="2"/>
      <c r="B12" s="2"/>
      <c r="C12" s="2"/>
      <c r="D12" s="2"/>
      <c r="E12" s="2"/>
      <c r="F12" s="2"/>
      <c r="G12" s="2"/>
      <c r="H12" s="2"/>
    </row>
    <row r="13" spans="1:52" ht="15" customHeight="1">
      <c r="A13" s="2"/>
      <c r="B13" s="2"/>
      <c r="C13" s="2"/>
      <c r="D13" s="2"/>
      <c r="E13" s="2"/>
      <c r="F13" s="2"/>
      <c r="G13" s="2"/>
      <c r="H13" s="2"/>
    </row>
    <row r="14" spans="1:52" s="5" customFormat="1" ht="15" customHeight="1">
      <c r="A14" s="2"/>
      <c r="B14" s="2"/>
      <c r="C14" s="2"/>
      <c r="D14" s="2"/>
      <c r="E14" s="2"/>
      <c r="F14" s="2"/>
      <c r="G14" s="2"/>
      <c r="H14" s="2"/>
    </row>
    <row r="15" spans="1:52" ht="15" customHeight="1">
      <c r="A15" s="2"/>
      <c r="B15" s="2"/>
      <c r="C15" s="2"/>
      <c r="D15" s="2"/>
      <c r="E15" s="2"/>
      <c r="F15" s="2"/>
      <c r="G15" s="2"/>
      <c r="H15" s="2"/>
    </row>
    <row r="16" spans="1:52" ht="15" customHeight="1">
      <c r="A16" s="2"/>
      <c r="B16" s="2"/>
      <c r="C16" s="2"/>
      <c r="D16" s="2"/>
      <c r="E16" s="2"/>
      <c r="F16" s="2"/>
      <c r="G16" s="2"/>
      <c r="H16" s="2"/>
    </row>
    <row r="17" spans="1:51" ht="15" customHeight="1">
      <c r="A17" s="2"/>
      <c r="B17" s="2"/>
      <c r="C17" s="2"/>
      <c r="D17" s="2"/>
      <c r="E17" s="2"/>
      <c r="F17" s="2"/>
      <c r="G17" s="2"/>
      <c r="H17" s="2"/>
    </row>
    <row r="18" spans="1:51" ht="15" customHeight="1">
      <c r="A18" s="2"/>
      <c r="B18" s="2"/>
      <c r="C18" s="2"/>
      <c r="D18" s="2"/>
      <c r="E18" s="2"/>
      <c r="F18" s="2"/>
      <c r="G18" s="2"/>
      <c r="H18" s="2"/>
    </row>
    <row r="19" spans="1:51" ht="15" customHeight="1">
      <c r="A19" s="2"/>
      <c r="B19" s="2"/>
      <c r="C19" s="2"/>
      <c r="D19" s="2"/>
      <c r="E19" s="2"/>
      <c r="F19" s="2"/>
      <c r="G19" s="2"/>
      <c r="H19" s="2"/>
    </row>
    <row r="20" spans="1:51" s="5" customFormat="1" ht="15" customHeight="1">
      <c r="A20" s="2"/>
      <c r="B20" s="2"/>
      <c r="C20" s="2"/>
      <c r="D20" s="2"/>
      <c r="E20" s="2"/>
      <c r="F20" s="2"/>
      <c r="G20" s="2"/>
      <c r="H20" s="2"/>
    </row>
    <row r="21" spans="1:51" ht="15" customHeight="1">
      <c r="A21" s="2"/>
      <c r="B21" s="2"/>
      <c r="C21" s="2"/>
      <c r="D21" s="2"/>
      <c r="E21" s="2"/>
      <c r="F21" s="2"/>
      <c r="G21" s="2"/>
      <c r="H21" s="2"/>
    </row>
    <row r="22" spans="1:51" ht="15" customHeight="1">
      <c r="A22" s="2"/>
      <c r="B22" s="2"/>
      <c r="C22" s="2"/>
      <c r="D22" s="2"/>
      <c r="E22" s="2"/>
      <c r="F22" s="2"/>
      <c r="G22" s="2"/>
      <c r="H22" s="2"/>
    </row>
    <row r="23" spans="1:51" ht="15" customHeight="1">
      <c r="A23" s="2"/>
      <c r="B23" s="2"/>
      <c r="C23" s="2"/>
      <c r="D23" s="2"/>
      <c r="E23" s="2"/>
      <c r="F23" s="2"/>
      <c r="G23" s="2"/>
      <c r="H23" s="2"/>
    </row>
    <row r="24" spans="1:51" ht="19.5">
      <c r="B24" s="3" t="s">
        <v>245</v>
      </c>
    </row>
    <row r="25" spans="1:51" ht="15" customHeight="1">
      <c r="A25" s="2"/>
      <c r="B25" s="175" t="s">
        <v>0</v>
      </c>
      <c r="C25" s="175"/>
      <c r="D25" s="175" t="s">
        <v>16</v>
      </c>
      <c r="E25" s="175"/>
      <c r="F25" s="175"/>
      <c r="G25" s="175"/>
      <c r="H25" s="175"/>
      <c r="I25" s="175"/>
      <c r="J25" s="175"/>
      <c r="K25" s="175"/>
      <c r="L25" s="175"/>
      <c r="M25" s="175"/>
      <c r="N25" s="133" t="s">
        <v>11</v>
      </c>
      <c r="O25" s="134"/>
      <c r="P25" s="134"/>
      <c r="Q25" s="134"/>
      <c r="R25" s="134"/>
      <c r="S25" s="135"/>
      <c r="T25" s="133" t="s">
        <v>48</v>
      </c>
      <c r="U25" s="134"/>
      <c r="V25" s="134"/>
      <c r="W25" s="134"/>
      <c r="X25" s="134"/>
      <c r="Y25" s="135"/>
      <c r="Z25" s="133" t="s">
        <v>49</v>
      </c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5"/>
      <c r="AL25" s="133" t="s">
        <v>50</v>
      </c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5"/>
    </row>
    <row r="26" spans="1:51" ht="15" customHeight="1">
      <c r="A26" s="2"/>
      <c r="B26" s="154">
        <v>1</v>
      </c>
      <c r="C26" s="154"/>
      <c r="D26" s="56"/>
      <c r="E26" s="57"/>
      <c r="F26" s="57"/>
      <c r="G26" s="57"/>
      <c r="H26" s="57"/>
      <c r="I26" s="57"/>
      <c r="J26" s="57"/>
      <c r="K26" s="57"/>
      <c r="L26" s="57"/>
      <c r="M26" s="58"/>
      <c r="N26" s="11" t="s">
        <v>17</v>
      </c>
      <c r="O26" s="12"/>
      <c r="P26" s="12"/>
      <c r="Q26" s="12"/>
      <c r="R26" s="12"/>
      <c r="S26" s="13"/>
      <c r="T26" s="11"/>
      <c r="U26" s="12"/>
      <c r="V26" s="12"/>
      <c r="W26" s="12"/>
      <c r="X26" s="12"/>
      <c r="Y26" s="13"/>
      <c r="Z26" s="11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3"/>
      <c r="AL26" s="11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1" ht="15" customHeight="1">
      <c r="A27" s="2"/>
      <c r="B27" s="154">
        <v>2</v>
      </c>
      <c r="C27" s="154"/>
      <c r="D27" s="56"/>
      <c r="E27" s="57"/>
      <c r="F27" s="57"/>
      <c r="G27" s="57"/>
      <c r="H27" s="57"/>
      <c r="I27" s="57"/>
      <c r="J27" s="57"/>
      <c r="K27" s="57"/>
      <c r="L27" s="57"/>
      <c r="M27" s="58"/>
      <c r="N27" s="11"/>
      <c r="O27" s="12"/>
      <c r="P27" s="12"/>
      <c r="Q27" s="12"/>
      <c r="R27" s="12"/>
      <c r="S27" s="13"/>
      <c r="T27" s="11"/>
      <c r="U27" s="12"/>
      <c r="V27" s="12"/>
      <c r="W27" s="12"/>
      <c r="X27" s="12"/>
      <c r="Y27" s="13"/>
      <c r="Z27" s="11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3"/>
      <c r="AL27" s="11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8" spans="1:51" ht="15" customHeight="1">
      <c r="B28" s="154">
        <v>3</v>
      </c>
      <c r="C28" s="154"/>
      <c r="D28" s="56"/>
      <c r="E28" s="57"/>
      <c r="F28" s="57"/>
      <c r="G28" s="57"/>
      <c r="H28" s="57"/>
      <c r="I28" s="57"/>
      <c r="J28" s="57"/>
      <c r="K28" s="57"/>
      <c r="L28" s="57"/>
      <c r="M28" s="58"/>
      <c r="N28" s="11"/>
      <c r="O28" s="12"/>
      <c r="P28" s="12"/>
      <c r="Q28" s="12"/>
      <c r="R28" s="12"/>
      <c r="S28" s="13"/>
      <c r="T28" s="11"/>
      <c r="U28" s="12"/>
      <c r="V28" s="12"/>
      <c r="W28" s="12"/>
      <c r="X28" s="12"/>
      <c r="Y28" s="13"/>
      <c r="Z28" s="11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3"/>
      <c r="AL28" s="11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/>
    </row>
    <row r="29" spans="1:51" ht="15" customHeight="1">
      <c r="B29" s="154">
        <v>4</v>
      </c>
      <c r="C29" s="154"/>
      <c r="D29" s="56"/>
      <c r="E29" s="57"/>
      <c r="F29" s="57"/>
      <c r="G29" s="57"/>
      <c r="H29" s="57"/>
      <c r="I29" s="57"/>
      <c r="J29" s="57"/>
      <c r="K29" s="57"/>
      <c r="L29" s="57"/>
      <c r="M29" s="58"/>
      <c r="N29" s="11"/>
      <c r="O29" s="12"/>
      <c r="P29" s="12"/>
      <c r="Q29" s="12"/>
      <c r="R29" s="12"/>
      <c r="S29" s="13"/>
      <c r="T29" s="11"/>
      <c r="U29" s="12"/>
      <c r="V29" s="12"/>
      <c r="W29" s="12"/>
      <c r="X29" s="12"/>
      <c r="Y29" s="13"/>
      <c r="Z29" s="11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3"/>
      <c r="AL29" s="11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/>
    </row>
    <row r="30" spans="1:51" ht="15" customHeight="1">
      <c r="B30" s="154">
        <v>5</v>
      </c>
      <c r="C30" s="154"/>
      <c r="D30" s="56"/>
      <c r="E30" s="57"/>
      <c r="F30" s="57"/>
      <c r="G30" s="57"/>
      <c r="H30" s="57"/>
      <c r="I30" s="57"/>
      <c r="J30" s="57"/>
      <c r="K30" s="57"/>
      <c r="L30" s="57"/>
      <c r="M30" s="58"/>
      <c r="N30" s="11"/>
      <c r="O30" s="12"/>
      <c r="P30" s="12"/>
      <c r="Q30" s="12"/>
      <c r="R30" s="12"/>
      <c r="S30" s="13"/>
      <c r="T30" s="11"/>
      <c r="U30" s="12"/>
      <c r="V30" s="12"/>
      <c r="W30" s="12"/>
      <c r="X30" s="12"/>
      <c r="Y30" s="13"/>
      <c r="Z30" s="11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3"/>
      <c r="AL30" s="11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3"/>
    </row>
    <row r="31" spans="1:51" ht="15" customHeight="1">
      <c r="B31" s="154">
        <v>6</v>
      </c>
      <c r="C31" s="154"/>
      <c r="D31" s="56"/>
      <c r="E31" s="57"/>
      <c r="F31" s="57"/>
      <c r="G31" s="57"/>
      <c r="H31" s="57"/>
      <c r="I31" s="57"/>
      <c r="J31" s="57"/>
      <c r="K31" s="57"/>
      <c r="L31" s="57"/>
      <c r="M31" s="58"/>
      <c r="N31" s="11"/>
      <c r="O31" s="12"/>
      <c r="P31" s="12"/>
      <c r="Q31" s="12"/>
      <c r="R31" s="12"/>
      <c r="S31" s="13"/>
      <c r="T31" s="11"/>
      <c r="U31" s="12"/>
      <c r="V31" s="12"/>
      <c r="W31" s="12"/>
      <c r="X31" s="12"/>
      <c r="Y31" s="13"/>
      <c r="Z31" s="11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3"/>
      <c r="AL31" s="11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3"/>
    </row>
    <row r="32" spans="1:51" ht="15" customHeight="1">
      <c r="B32" s="154">
        <v>7</v>
      </c>
      <c r="C32" s="154"/>
      <c r="D32" s="56"/>
      <c r="E32" s="57"/>
      <c r="F32" s="57"/>
      <c r="G32" s="57"/>
      <c r="H32" s="57"/>
      <c r="I32" s="57"/>
      <c r="J32" s="57"/>
      <c r="K32" s="57"/>
      <c r="L32" s="57"/>
      <c r="M32" s="58"/>
      <c r="N32" s="11"/>
      <c r="O32" s="12"/>
      <c r="P32" s="12"/>
      <c r="Q32" s="12"/>
      <c r="R32" s="12"/>
      <c r="S32" s="13"/>
      <c r="T32" s="11"/>
      <c r="U32" s="12"/>
      <c r="V32" s="12"/>
      <c r="W32" s="12"/>
      <c r="X32" s="12"/>
      <c r="Y32" s="13"/>
      <c r="Z32" s="11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3"/>
      <c r="AL32" s="11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/>
    </row>
    <row r="33" spans="2:2" ht="15" customHeight="1">
      <c r="B33" s="9"/>
    </row>
  </sheetData>
  <mergeCells count="14">
    <mergeCell ref="B27:C27"/>
    <mergeCell ref="A1:AZ1"/>
    <mergeCell ref="B32:C32"/>
    <mergeCell ref="B30:C30"/>
    <mergeCell ref="B31:C31"/>
    <mergeCell ref="B28:C28"/>
    <mergeCell ref="B29:C29"/>
    <mergeCell ref="B25:C25"/>
    <mergeCell ref="D25:M25"/>
    <mergeCell ref="Z25:AK25"/>
    <mergeCell ref="AL25:AY25"/>
    <mergeCell ref="B26:C26"/>
    <mergeCell ref="T25:Y25"/>
    <mergeCell ref="N25:S25"/>
  </mergeCells>
  <phoneticPr fontId="1"/>
  <pageMargins left="0.23622047244094491" right="0.23622047244094491" top="0.31496062992125984" bottom="0.27559055118110237" header="0.35433070866141736" footer="0.15748031496062992"/>
  <pageSetup paperSize="9" scale="63" orientation="landscape" horizont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G6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53" width="2.5" style="1"/>
    <col min="54" max="105" width="0" style="1" hidden="1" customWidth="1"/>
    <col min="106" max="16384" width="2.5" style="1"/>
  </cols>
  <sheetData>
    <row r="1" spans="1:85" ht="28.5">
      <c r="A1" s="136" t="str">
        <f ca="1">RIGHT(CELL("filename",A1),LEN(CELL("filename",A1))-FIND("]",CELL("filename",A1)))</f>
        <v>処理フロー図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85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8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85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85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85" ht="15" customHeight="1">
      <c r="A6" s="3" t="s">
        <v>246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V6" s="2"/>
      <c r="AW6" s="2"/>
      <c r="AX6" s="2"/>
      <c r="AY6" s="2"/>
      <c r="AZ6" s="2"/>
      <c r="BL6" s="93" t="s">
        <v>247</v>
      </c>
      <c r="CG6" s="93" t="s">
        <v>248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94" orientation="landscape" horizontalDpi="4294967293" r:id="rId1"/>
  <headerFooter alignWithMargins="0"/>
  <rowBreaks count="3" manualBreakCount="3">
    <brk id="76" max="104" man="1"/>
    <brk id="117" max="104" man="1"/>
    <brk id="160" max="96" man="1"/>
  </rowBreaks>
  <colBreaks count="1" manualBreakCount="1">
    <brk id="53" max="159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P3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68" ht="28.5">
      <c r="A1" s="139" t="str">
        <f ca="1">RIGHT(CELL("filename",A1),LEN(CELL("filename",A1))-FIND("]",CELL("filename",A1)))</f>
        <v>帳票定義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</row>
    <row r="3" spans="1:68" s="5" customFormat="1" ht="15" customHeight="1">
      <c r="A3" s="3" t="s">
        <v>30</v>
      </c>
      <c r="B3" s="4"/>
      <c r="C3" s="4"/>
      <c r="D3" s="4"/>
      <c r="E3" s="4"/>
      <c r="F3" s="4"/>
      <c r="G3" s="4"/>
    </row>
    <row r="4" spans="1:68" ht="15" customHeight="1">
      <c r="A4" s="4"/>
      <c r="B4" s="7" t="s">
        <v>12</v>
      </c>
      <c r="C4" s="7"/>
    </row>
    <row r="5" spans="1:68" ht="15" customHeight="1">
      <c r="A5" s="4"/>
      <c r="B5" s="176" t="s">
        <v>32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3"/>
    </row>
    <row r="6" spans="1:68" ht="15" customHeight="1">
      <c r="A6" s="4"/>
      <c r="B6" s="177" t="s">
        <v>10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20"/>
    </row>
    <row r="7" spans="1:68" ht="15" customHeight="1">
      <c r="A7" s="4"/>
      <c r="B7" s="179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22"/>
    </row>
    <row r="8" spans="1:68" ht="15" customHeight="1">
      <c r="A8" s="4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</row>
    <row r="9" spans="1:68" ht="15" customHeight="1">
      <c r="A9" s="4"/>
      <c r="B9" s="14" t="s">
        <v>33</v>
      </c>
      <c r="C9" s="14"/>
      <c r="D9" s="16"/>
      <c r="E9" s="16"/>
      <c r="F9" s="16"/>
      <c r="G9" s="16"/>
      <c r="H9" s="16"/>
      <c r="I9" s="16"/>
      <c r="J9" s="16"/>
      <c r="K9" s="16"/>
      <c r="L9" s="16"/>
      <c r="M9" s="17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3"/>
    </row>
    <row r="10" spans="1:68" ht="15" customHeight="1">
      <c r="A10" s="4"/>
      <c r="B10" s="15" t="s">
        <v>34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3"/>
    </row>
    <row r="11" spans="1:68" s="5" customFormat="1" ht="15" customHeight="1">
      <c r="A11" s="4"/>
      <c r="B11" s="15" t="s">
        <v>35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3"/>
      <c r="BO11" s="1"/>
      <c r="BP11" s="1"/>
    </row>
    <row r="12" spans="1:68" ht="15" customHeight="1">
      <c r="B12" s="15" t="s">
        <v>36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3"/>
    </row>
    <row r="13" spans="1:68" ht="15" customHeight="1">
      <c r="B13" s="28" t="s">
        <v>3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20"/>
    </row>
    <row r="14" spans="1:68" ht="15" customHeigh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  <c r="N14" s="3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22"/>
    </row>
    <row r="15" spans="1:68" ht="15" customHeight="1"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  <c r="N15" s="3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22"/>
    </row>
    <row r="16" spans="1:68" ht="15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6"/>
      <c r="N16" s="37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</row>
    <row r="18" spans="1:52" ht="15" customHeight="1">
      <c r="A18" s="3" t="s">
        <v>31</v>
      </c>
    </row>
    <row r="19" spans="1:52" ht="15" customHeight="1">
      <c r="A19" s="7" t="s">
        <v>67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15" customHeight="1">
      <c r="B20" s="175" t="s">
        <v>37</v>
      </c>
      <c r="C20" s="175"/>
      <c r="D20" s="176" t="s">
        <v>38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 t="s">
        <v>39</v>
      </c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 t="s">
        <v>40</v>
      </c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 t="s">
        <v>3</v>
      </c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</row>
    <row r="21" spans="1:52" ht="15" customHeight="1">
      <c r="B21" s="154">
        <v>1</v>
      </c>
      <c r="C21" s="154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1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3"/>
    </row>
    <row r="22" spans="1:52" ht="15" customHeight="1">
      <c r="B22" s="154">
        <v>2</v>
      </c>
      <c r="C22" s="154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1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3"/>
    </row>
    <row r="23" spans="1:52" ht="15" customHeight="1">
      <c r="A23" s="4"/>
      <c r="B23" s="154">
        <v>3</v>
      </c>
      <c r="C23" s="154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1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3"/>
    </row>
    <row r="24" spans="1:52" ht="15" customHeight="1">
      <c r="A24" s="4"/>
      <c r="B24" s="154">
        <v>4</v>
      </c>
      <c r="C24" s="154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1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3"/>
    </row>
    <row r="25" spans="1:52" ht="15" customHeight="1">
      <c r="A25" s="4"/>
      <c r="B25" s="154">
        <v>5</v>
      </c>
      <c r="C25" s="154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1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3"/>
    </row>
    <row r="26" spans="1:52" ht="15" customHeight="1">
      <c r="A26" s="4"/>
      <c r="B26" s="154">
        <v>6</v>
      </c>
      <c r="C26" s="154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1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2" ht="15" customHeight="1">
      <c r="A27" s="4"/>
      <c r="B27" s="154">
        <v>7</v>
      </c>
      <c r="C27" s="154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1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8" spans="1:52" ht="15" customHeight="1">
      <c r="A28" s="4"/>
      <c r="B28" s="154">
        <v>8</v>
      </c>
      <c r="C28" s="154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1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/>
    </row>
    <row r="29" spans="1:52" ht="15" customHeight="1">
      <c r="A29" s="4"/>
      <c r="B29" s="154">
        <v>9</v>
      </c>
      <c r="C29" s="154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1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/>
    </row>
    <row r="30" spans="1:52" ht="15" customHeight="1">
      <c r="B30" s="154">
        <v>10</v>
      </c>
      <c r="C30" s="154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1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3"/>
    </row>
    <row r="31" spans="1:52" ht="15" customHeight="1">
      <c r="B31" s="154">
        <v>11</v>
      </c>
      <c r="C31" s="154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1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3"/>
    </row>
    <row r="32" spans="1:52" ht="15" customHeight="1">
      <c r="B32" s="154">
        <v>12</v>
      </c>
      <c r="C32" s="154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1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/>
    </row>
    <row r="33" spans="2:51" ht="15" customHeight="1">
      <c r="B33" s="154"/>
      <c r="C33" s="154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1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3"/>
    </row>
  </sheetData>
  <mergeCells count="22">
    <mergeCell ref="A1:AZ1"/>
    <mergeCell ref="B5:M5"/>
    <mergeCell ref="B6:M6"/>
    <mergeCell ref="B7:M7"/>
    <mergeCell ref="B20:C20"/>
    <mergeCell ref="D20:M20"/>
    <mergeCell ref="N20:Z20"/>
    <mergeCell ref="AA20:AM20"/>
    <mergeCell ref="AN20:AY20"/>
    <mergeCell ref="B21:C21"/>
    <mergeCell ref="B22:C22"/>
    <mergeCell ref="B23:C23"/>
    <mergeCell ref="B24:C24"/>
    <mergeCell ref="B25:C25"/>
    <mergeCell ref="B26:C26"/>
    <mergeCell ref="B27:C27"/>
    <mergeCell ref="B33:C33"/>
    <mergeCell ref="B28:C28"/>
    <mergeCell ref="B29:C29"/>
    <mergeCell ref="B30:C30"/>
    <mergeCell ref="B31:C31"/>
    <mergeCell ref="B32:C32"/>
  </mergeCells>
  <phoneticPr fontId="1"/>
  <pageMargins left="0.23622047244094491" right="0.23622047244094491" top="0.31496062992125984" bottom="0.27559055118110237" header="0.35433070866141736" footer="0.15748031496062992"/>
  <pageSetup paperSize="9" scale="87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C13"/>
  <sheetViews>
    <sheetView showGridLines="0" view="pageBreakPreview" zoomScaleNormal="100" zoomScaleSheetLayoutView="100" workbookViewId="0">
      <selection sqref="A1:BC1"/>
    </sheetView>
  </sheetViews>
  <sheetFormatPr defaultColWidth="2.5" defaultRowHeight="15" customHeight="1"/>
  <cols>
    <col min="1" max="16384" width="2.5" style="1"/>
  </cols>
  <sheetData>
    <row r="1" spans="1:55" ht="28.5">
      <c r="A1" s="136" t="str">
        <f ca="1">RIGHT(CELL("filename",A1),LEN(CELL("filename",A1))-FIND("]",CELL("filename",A1)))</f>
        <v>メッセージ一覧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</row>
    <row r="3" spans="1:55" s="5" customFormat="1" ht="15" customHeight="1">
      <c r="A3" s="3" t="s">
        <v>24</v>
      </c>
      <c r="B3" s="4"/>
      <c r="C3" s="4"/>
      <c r="D3" s="4"/>
      <c r="E3" s="4"/>
      <c r="F3" s="4"/>
      <c r="G3" s="4"/>
    </row>
    <row r="4" spans="1:55" ht="15" customHeight="1">
      <c r="A4" s="4"/>
      <c r="B4" s="7" t="s">
        <v>12</v>
      </c>
      <c r="C4" s="7"/>
    </row>
    <row r="5" spans="1:55" ht="15" customHeight="1">
      <c r="A5" s="4"/>
      <c r="B5" s="175" t="s">
        <v>37</v>
      </c>
      <c r="C5" s="175"/>
      <c r="D5" s="133" t="s">
        <v>2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5"/>
      <c r="W5" s="133" t="s">
        <v>41</v>
      </c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3" t="s">
        <v>3</v>
      </c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5"/>
    </row>
    <row r="6" spans="1:55" ht="15" customHeight="1">
      <c r="A6" s="4"/>
      <c r="B6" s="154">
        <v>1</v>
      </c>
      <c r="C6" s="154"/>
      <c r="D6" s="11" t="s">
        <v>336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73"/>
      <c r="U6" s="73"/>
      <c r="V6" s="92"/>
      <c r="W6" s="11" t="s">
        <v>332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3"/>
      <c r="AQ6" s="11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3"/>
    </row>
    <row r="7" spans="1:55" ht="15" customHeight="1">
      <c r="A7" s="4"/>
      <c r="B7" s="154">
        <v>2</v>
      </c>
      <c r="C7" s="154"/>
      <c r="D7" s="11" t="s">
        <v>337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73"/>
      <c r="U7" s="73"/>
      <c r="V7" s="92"/>
      <c r="W7" s="11" t="s">
        <v>335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3"/>
      <c r="AQ7" s="11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3"/>
    </row>
    <row r="8" spans="1:55" ht="15" customHeight="1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5" ht="15" customHeight="1">
      <c r="A9" s="3" t="s">
        <v>26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5" ht="15" customHeight="1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5" ht="15" customHeight="1">
      <c r="B11" s="175" t="s">
        <v>37</v>
      </c>
      <c r="C11" s="175"/>
      <c r="D11" s="133" t="s">
        <v>2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5"/>
      <c r="W11" s="133" t="s">
        <v>41</v>
      </c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 t="s">
        <v>3</v>
      </c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5"/>
    </row>
    <row r="12" spans="1:55" ht="15" customHeight="1">
      <c r="B12" s="154">
        <v>1</v>
      </c>
      <c r="C12" s="154"/>
      <c r="D12" s="11" t="s">
        <v>338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73"/>
      <c r="U12" s="73"/>
      <c r="V12" s="92"/>
      <c r="W12" s="11" t="s">
        <v>333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3"/>
      <c r="AQ12" s="11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3"/>
    </row>
    <row r="13" spans="1:55" ht="15" customHeight="1">
      <c r="B13" s="154">
        <v>2</v>
      </c>
      <c r="C13" s="154"/>
      <c r="D13" s="11" t="s">
        <v>339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73"/>
      <c r="U13" s="73"/>
      <c r="V13" s="92"/>
      <c r="W13" s="11" t="s">
        <v>334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3"/>
      <c r="AQ13" s="11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3"/>
    </row>
  </sheetData>
  <mergeCells count="13">
    <mergeCell ref="B12:C12"/>
    <mergeCell ref="B7:C7"/>
    <mergeCell ref="B11:C11"/>
    <mergeCell ref="B13:C13"/>
    <mergeCell ref="A1:BC1"/>
    <mergeCell ref="D11:V11"/>
    <mergeCell ref="W11:AP11"/>
    <mergeCell ref="AQ11:BB11"/>
    <mergeCell ref="D5:V5"/>
    <mergeCell ref="W5:AP5"/>
    <mergeCell ref="AQ5:BB5"/>
    <mergeCell ref="B6:C6"/>
    <mergeCell ref="B5:C5"/>
  </mergeCells>
  <phoneticPr fontId="1"/>
  <pageMargins left="0.23622047244094491" right="0.23622047244094491" top="0.31496062992125984" bottom="0.27559055118110237" header="0.35433070866141736" footer="0.15748031496062992"/>
  <pageSetup paperSize="9" scale="87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D306-7115-4094-BDD2-7352CD15EC36}">
  <sheetPr codeName="Sheet14"/>
  <dimension ref="A1:BM32"/>
  <sheetViews>
    <sheetView showGridLines="0" view="pageBreakPreview" zoomScaleNormal="90" zoomScaleSheetLayoutView="100" workbookViewId="0">
      <selection sqref="A1:BL1"/>
    </sheetView>
  </sheetViews>
  <sheetFormatPr defaultRowHeight="14.25"/>
  <cols>
    <col min="1" max="65" width="2.5" style="50" customWidth="1"/>
    <col min="66" max="16384" width="9" style="50"/>
  </cols>
  <sheetData>
    <row r="1" spans="1:65" s="1" customFormat="1" ht="28.5">
      <c r="A1" s="181" t="str">
        <f ca="1">RIGHT(CELL("filename",A1),LEN(CELL("filename",A1))-FIND("]",CELL("filename",A1)))</f>
        <v>データフロー図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47"/>
    </row>
    <row r="3" spans="1:65">
      <c r="A3" s="50" t="s">
        <v>204</v>
      </c>
    </row>
    <row r="6" spans="1:65" s="51" customFormat="1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</row>
    <row r="7" spans="1:65" s="51" customFormat="1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</row>
    <row r="8" spans="1:65" s="51" customFormat="1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</row>
    <row r="9" spans="1:65" s="51" customFormat="1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</row>
    <row r="10" spans="1:65" s="51" customFormat="1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</row>
    <row r="11" spans="1:65" s="51" customFormat="1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</row>
    <row r="12" spans="1:65" s="51" customFormat="1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</row>
    <row r="13" spans="1:65" s="51" customFormat="1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</row>
    <row r="14" spans="1:65" s="51" customFormat="1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</row>
    <row r="15" spans="1:65" s="51" customFormat="1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</row>
    <row r="16" spans="1:65" s="51" customFormat="1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</row>
    <row r="17" spans="2:63" s="51" customFormat="1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</row>
    <row r="18" spans="2:63" s="51" customFormat="1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</row>
    <row r="19" spans="2:63" s="51" customFormat="1"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2"/>
      <c r="BG19" s="52"/>
      <c r="BH19" s="52"/>
      <c r="BI19" s="52"/>
      <c r="BJ19" s="52"/>
      <c r="BK19" s="52"/>
    </row>
    <row r="20" spans="2:63" s="51" customFormat="1"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2"/>
      <c r="BG20" s="52"/>
      <c r="BH20" s="52"/>
      <c r="BI20" s="52"/>
      <c r="BJ20" s="52"/>
      <c r="BK20" s="52"/>
    </row>
    <row r="21" spans="2:63" s="51" customFormat="1"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2"/>
      <c r="BG21" s="52"/>
      <c r="BH21" s="52"/>
      <c r="BI21" s="52"/>
      <c r="BJ21" s="52"/>
      <c r="BK21" s="52"/>
    </row>
    <row r="22" spans="2:63" s="51" customFormat="1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2"/>
      <c r="BG22" s="52"/>
      <c r="BH22" s="52"/>
      <c r="BI22" s="52"/>
      <c r="BJ22" s="52"/>
      <c r="BK22" s="52"/>
    </row>
    <row r="23" spans="2:63" s="51" customFormat="1"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2"/>
      <c r="BG23" s="52"/>
      <c r="BH23" s="52"/>
      <c r="BI23" s="52"/>
      <c r="BJ23" s="52"/>
      <c r="BK23" s="52"/>
    </row>
    <row r="24" spans="2:63" s="51" customFormat="1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2"/>
      <c r="BG24" s="52"/>
      <c r="BH24" s="52"/>
      <c r="BI24" s="52"/>
      <c r="BJ24" s="52"/>
      <c r="BK24" s="52"/>
    </row>
    <row r="25" spans="2:63" s="51" customFormat="1"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2"/>
      <c r="BG25" s="52"/>
      <c r="BH25" s="52"/>
      <c r="BI25" s="52"/>
      <c r="BJ25" s="52"/>
      <c r="BK25" s="52"/>
    </row>
    <row r="26" spans="2:63" s="51" customForma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</row>
    <row r="27" spans="2:63" s="51" customFormat="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</row>
    <row r="28" spans="2:63" s="51" customForma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</row>
    <row r="29" spans="2:63" s="51" customForma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</row>
    <row r="30" spans="2:63" s="51" customForma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</row>
    <row r="31" spans="2:63" s="51" customFormat="1"/>
    <row r="32" spans="2:63" s="51" customFormat="1"/>
  </sheetData>
  <mergeCells count="1">
    <mergeCell ref="A1:BL1"/>
  </mergeCells>
  <phoneticPr fontId="1"/>
  <pageMargins left="0.7" right="0.7" top="0.75" bottom="0.75" header="0.3" footer="0.3"/>
  <pageSetup paperSize="9" scale="5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BJ90"/>
  <sheetViews>
    <sheetView showGridLines="0" view="pageBreakPreview" zoomScaleNormal="100" zoomScaleSheetLayoutView="100" workbookViewId="0">
      <selection sqref="A1:Q1"/>
    </sheetView>
  </sheetViews>
  <sheetFormatPr defaultColWidth="2.5" defaultRowHeight="15" customHeight="1" outlineLevelCol="1"/>
  <cols>
    <col min="1" max="1" width="2.5" style="1"/>
    <col min="2" max="2" width="22.25" style="1" hidden="1" customWidth="1" outlineLevel="1"/>
    <col min="3" max="3" width="14.25" style="1" bestFit="1" customWidth="1" collapsed="1"/>
    <col min="4" max="4" width="23" style="1" bestFit="1" customWidth="1"/>
    <col min="5" max="5" width="23" style="1" hidden="1" customWidth="1" outlineLevel="1"/>
    <col min="6" max="6" width="5.5" style="1" bestFit="1" customWidth="1" collapsed="1"/>
    <col min="7" max="7" width="17.875" style="1" bestFit="1" customWidth="1"/>
    <col min="8" max="8" width="17.875" style="1" hidden="1" customWidth="1" outlineLevel="1"/>
    <col min="9" max="9" width="13.875" style="1" bestFit="1" customWidth="1" collapsed="1"/>
    <col min="10" max="11" width="4.5" style="1" bestFit="1" customWidth="1"/>
    <col min="12" max="12" width="6" style="1" bestFit="1" customWidth="1"/>
    <col min="13" max="13" width="7.5" style="1" bestFit="1" customWidth="1"/>
    <col min="14" max="14" width="18.875" style="1" bestFit="1" customWidth="1"/>
    <col min="15" max="15" width="4.5" style="1" hidden="1" customWidth="1" outlineLevel="1"/>
    <col min="16" max="16" width="6" style="1" hidden="1" customWidth="1" outlineLevel="1"/>
    <col min="17" max="17" width="2.5" style="1" collapsed="1"/>
    <col min="18" max="39" width="2.5" style="1"/>
    <col min="40" max="52" width="2.5" style="1" customWidth="1"/>
    <col min="53" max="16384" width="2.5" style="1"/>
  </cols>
  <sheetData>
    <row r="1" spans="1:52" ht="28.5">
      <c r="A1" s="139" t="str">
        <f ca="1">RIGHT(CELL("filename",A1),LEN(CELL("filename",A1))-FIND("]",CELL("filename",A1)))</f>
        <v>テーブル定義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3" spans="1:52" s="5" customFormat="1" ht="15" customHeight="1">
      <c r="A3" s="39"/>
      <c r="B3" s="49" t="s">
        <v>72</v>
      </c>
      <c r="C3" s="49" t="s">
        <v>73</v>
      </c>
      <c r="D3" s="49" t="s">
        <v>74</v>
      </c>
      <c r="E3" s="49" t="s">
        <v>75</v>
      </c>
      <c r="F3" s="49" t="s">
        <v>76</v>
      </c>
      <c r="G3" s="49" t="s">
        <v>77</v>
      </c>
      <c r="H3" s="49" t="s">
        <v>78</v>
      </c>
      <c r="I3" s="49" t="s">
        <v>79</v>
      </c>
      <c r="J3" s="49" t="s">
        <v>80</v>
      </c>
      <c r="K3" s="49" t="s">
        <v>81</v>
      </c>
      <c r="L3" s="49" t="s">
        <v>82</v>
      </c>
      <c r="M3" s="49" t="s">
        <v>83</v>
      </c>
      <c r="N3" s="49" t="s">
        <v>84</v>
      </c>
      <c r="O3" s="49" t="s">
        <v>85</v>
      </c>
      <c r="P3" s="49" t="s">
        <v>86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</row>
    <row r="4" spans="1:52" ht="15" customHeight="1">
      <c r="B4" s="183" t="s">
        <v>117</v>
      </c>
      <c r="C4" s="183" t="s">
        <v>88</v>
      </c>
      <c r="D4" s="183" t="s">
        <v>155</v>
      </c>
      <c r="E4" s="183" t="s">
        <v>155</v>
      </c>
      <c r="F4" s="48" t="s">
        <v>89</v>
      </c>
      <c r="G4" s="48" t="s">
        <v>93</v>
      </c>
      <c r="H4" s="48" t="s">
        <v>93</v>
      </c>
      <c r="I4" s="48" t="s">
        <v>148</v>
      </c>
      <c r="J4" s="48"/>
      <c r="K4" s="48"/>
      <c r="L4" s="48" t="s">
        <v>89</v>
      </c>
      <c r="M4" s="48"/>
      <c r="N4" s="48"/>
      <c r="O4" s="48"/>
      <c r="P4" s="48"/>
    </row>
    <row r="5" spans="1:52" ht="15" customHeight="1">
      <c r="B5" s="183"/>
      <c r="C5" s="183"/>
      <c r="D5" s="183"/>
      <c r="E5" s="183"/>
      <c r="F5" s="48" t="s">
        <v>163</v>
      </c>
      <c r="G5" s="48" t="s">
        <v>118</v>
      </c>
      <c r="H5" s="48" t="s">
        <v>118</v>
      </c>
      <c r="I5" s="48" t="s">
        <v>156</v>
      </c>
      <c r="J5" s="48"/>
      <c r="K5" s="48" t="s">
        <v>92</v>
      </c>
      <c r="L5" s="48"/>
      <c r="M5" s="48"/>
      <c r="N5" s="48"/>
      <c r="O5" s="48"/>
      <c r="P5" s="48"/>
    </row>
    <row r="6" spans="1:52" ht="15" customHeight="1">
      <c r="B6" s="183"/>
      <c r="C6" s="183"/>
      <c r="D6" s="183"/>
      <c r="E6" s="183"/>
      <c r="F6" s="48" t="s">
        <v>164</v>
      </c>
      <c r="G6" s="48" t="s">
        <v>110</v>
      </c>
      <c r="H6" s="48" t="s">
        <v>110</v>
      </c>
      <c r="I6" s="48" t="s">
        <v>91</v>
      </c>
      <c r="J6" s="48"/>
      <c r="K6" s="48" t="s">
        <v>92</v>
      </c>
      <c r="L6" s="48"/>
      <c r="M6" s="48"/>
      <c r="N6" s="48"/>
      <c r="O6" s="48"/>
      <c r="P6" s="48"/>
    </row>
    <row r="7" spans="1:52" ht="15" customHeight="1">
      <c r="B7" s="183"/>
      <c r="C7" s="183"/>
      <c r="D7" s="183"/>
      <c r="E7" s="183"/>
      <c r="F7" s="48" t="s">
        <v>165</v>
      </c>
      <c r="G7" s="48" t="s">
        <v>108</v>
      </c>
      <c r="H7" s="48" t="s">
        <v>108</v>
      </c>
      <c r="I7" s="48" t="s">
        <v>91</v>
      </c>
      <c r="J7" s="48"/>
      <c r="K7" s="48"/>
      <c r="L7" s="48"/>
      <c r="M7" s="48"/>
      <c r="N7" s="48"/>
      <c r="O7" s="48"/>
      <c r="P7" s="48"/>
    </row>
    <row r="8" spans="1:52" ht="15" customHeight="1">
      <c r="B8" s="183"/>
      <c r="C8" s="183"/>
      <c r="D8" s="183"/>
      <c r="E8" s="183"/>
      <c r="F8" s="48" t="s">
        <v>166</v>
      </c>
      <c r="G8" s="48" t="s">
        <v>157</v>
      </c>
      <c r="H8" s="48" t="s">
        <v>157</v>
      </c>
      <c r="I8" s="48" t="s">
        <v>91</v>
      </c>
      <c r="J8" s="48"/>
      <c r="K8" s="48"/>
      <c r="L8" s="48"/>
      <c r="M8" s="48"/>
      <c r="N8" s="48"/>
      <c r="O8" s="48"/>
      <c r="P8" s="48"/>
    </row>
    <row r="9" spans="1:52" ht="15" customHeight="1">
      <c r="B9" s="183"/>
      <c r="C9" s="183"/>
      <c r="D9" s="183"/>
      <c r="E9" s="183"/>
      <c r="F9" s="48" t="s">
        <v>167</v>
      </c>
      <c r="G9" s="48" t="s">
        <v>119</v>
      </c>
      <c r="H9" s="48" t="s">
        <v>119</v>
      </c>
      <c r="I9" s="48" t="s">
        <v>91</v>
      </c>
      <c r="J9" s="48"/>
      <c r="K9" s="48"/>
      <c r="L9" s="48"/>
      <c r="M9" s="48"/>
      <c r="N9" s="48"/>
      <c r="O9" s="48"/>
      <c r="P9" s="48"/>
    </row>
    <row r="10" spans="1:52" ht="15" customHeight="1">
      <c r="B10" s="183"/>
      <c r="C10" s="183"/>
      <c r="D10" s="183"/>
      <c r="E10" s="183"/>
      <c r="F10" s="48" t="s">
        <v>168</v>
      </c>
      <c r="G10" s="48" t="s">
        <v>120</v>
      </c>
      <c r="H10" s="48" t="s">
        <v>120</v>
      </c>
      <c r="I10" s="48" t="s">
        <v>91</v>
      </c>
      <c r="J10" s="48"/>
      <c r="K10" s="48"/>
      <c r="L10" s="48"/>
      <c r="M10" s="48"/>
      <c r="N10" s="48"/>
      <c r="O10" s="48"/>
      <c r="P10" s="48"/>
    </row>
    <row r="11" spans="1:52" ht="15" customHeight="1">
      <c r="B11" s="183"/>
      <c r="C11" s="183"/>
      <c r="D11" s="183"/>
      <c r="E11" s="183"/>
      <c r="F11" s="48" t="s">
        <v>169</v>
      </c>
      <c r="G11" s="48" t="s">
        <v>121</v>
      </c>
      <c r="H11" s="48" t="s">
        <v>121</v>
      </c>
      <c r="I11" s="48" t="s">
        <v>91</v>
      </c>
      <c r="J11" s="48"/>
      <c r="K11" s="48"/>
      <c r="L11" s="48"/>
      <c r="M11" s="48"/>
      <c r="N11" s="48"/>
      <c r="O11" s="48"/>
      <c r="P11" s="48"/>
    </row>
    <row r="12" spans="1:52" ht="15" customHeight="1">
      <c r="B12" s="183"/>
      <c r="C12" s="183"/>
      <c r="D12" s="183"/>
      <c r="E12" s="183"/>
      <c r="F12" s="48" t="s">
        <v>170</v>
      </c>
      <c r="G12" s="48" t="s">
        <v>107</v>
      </c>
      <c r="H12" s="48" t="s">
        <v>107</v>
      </c>
      <c r="I12" s="48" t="s">
        <v>91</v>
      </c>
      <c r="J12" s="48"/>
      <c r="K12" s="48"/>
      <c r="L12" s="48"/>
      <c r="M12" s="48"/>
      <c r="N12" s="48"/>
      <c r="O12" s="48"/>
      <c r="P12" s="48"/>
    </row>
    <row r="13" spans="1:52" ht="15" customHeight="1">
      <c r="B13" s="183"/>
      <c r="C13" s="183"/>
      <c r="D13" s="183"/>
      <c r="E13" s="183"/>
      <c r="F13" s="48" t="s">
        <v>171</v>
      </c>
      <c r="G13" s="48" t="s">
        <v>122</v>
      </c>
      <c r="H13" s="48" t="s">
        <v>122</v>
      </c>
      <c r="I13" s="48" t="s">
        <v>91</v>
      </c>
      <c r="J13" s="48"/>
      <c r="K13" s="48"/>
      <c r="L13" s="48"/>
      <c r="M13" s="48"/>
      <c r="N13" s="48"/>
      <c r="O13" s="48"/>
      <c r="P13" s="48"/>
    </row>
    <row r="14" spans="1:52" ht="15" customHeight="1">
      <c r="B14" s="183"/>
      <c r="C14" s="183"/>
      <c r="D14" s="183"/>
      <c r="E14" s="183"/>
      <c r="F14" s="48" t="s">
        <v>172</v>
      </c>
      <c r="G14" s="48" t="s">
        <v>123</v>
      </c>
      <c r="H14" s="48" t="s">
        <v>123</v>
      </c>
      <c r="I14" s="48" t="s">
        <v>91</v>
      </c>
      <c r="J14" s="48"/>
      <c r="K14" s="48"/>
      <c r="L14" s="48"/>
      <c r="M14" s="48"/>
      <c r="N14" s="48"/>
      <c r="O14" s="48"/>
      <c r="P14" s="48"/>
    </row>
    <row r="15" spans="1:52" ht="15" customHeight="1">
      <c r="B15" s="183"/>
      <c r="C15" s="183"/>
      <c r="D15" s="183"/>
      <c r="E15" s="183"/>
      <c r="F15" s="48" t="s">
        <v>173</v>
      </c>
      <c r="G15" s="48" t="s">
        <v>106</v>
      </c>
      <c r="H15" s="48" t="s">
        <v>106</v>
      </c>
      <c r="I15" s="48" t="s">
        <v>91</v>
      </c>
      <c r="J15" s="48"/>
      <c r="K15" s="48"/>
      <c r="L15" s="48"/>
      <c r="M15" s="48"/>
      <c r="N15" s="48"/>
      <c r="O15" s="48"/>
      <c r="P15" s="48"/>
    </row>
    <row r="16" spans="1:52" ht="15" customHeight="1">
      <c r="B16" s="183"/>
      <c r="C16" s="183"/>
      <c r="D16" s="183"/>
      <c r="E16" s="183"/>
      <c r="F16" s="48" t="s">
        <v>174</v>
      </c>
      <c r="G16" s="48" t="s">
        <v>124</v>
      </c>
      <c r="H16" s="48" t="s">
        <v>124</v>
      </c>
      <c r="I16" s="48" t="s">
        <v>91</v>
      </c>
      <c r="J16" s="48"/>
      <c r="K16" s="48"/>
      <c r="L16" s="48"/>
      <c r="M16" s="48"/>
      <c r="N16" s="48"/>
      <c r="O16" s="48"/>
      <c r="P16" s="48"/>
    </row>
    <row r="17" spans="2:16" ht="15" customHeight="1">
      <c r="B17" s="183"/>
      <c r="C17" s="183"/>
      <c r="D17" s="183"/>
      <c r="E17" s="183"/>
      <c r="F17" s="48" t="s">
        <v>175</v>
      </c>
      <c r="G17" s="48" t="s">
        <v>125</v>
      </c>
      <c r="H17" s="48" t="s">
        <v>125</v>
      </c>
      <c r="I17" s="48" t="s">
        <v>91</v>
      </c>
      <c r="J17" s="48"/>
      <c r="K17" s="48"/>
      <c r="L17" s="48"/>
      <c r="M17" s="48"/>
      <c r="N17" s="48"/>
      <c r="O17" s="48"/>
      <c r="P17" s="48"/>
    </row>
    <row r="18" spans="2:16" ht="15" customHeight="1">
      <c r="B18" s="183"/>
      <c r="C18" s="183"/>
      <c r="D18" s="183"/>
      <c r="E18" s="183"/>
      <c r="F18" s="48" t="s">
        <v>176</v>
      </c>
      <c r="G18" s="48" t="s">
        <v>126</v>
      </c>
      <c r="H18" s="48" t="s">
        <v>126</v>
      </c>
      <c r="I18" s="48" t="s">
        <v>91</v>
      </c>
      <c r="J18" s="48"/>
      <c r="K18" s="48"/>
      <c r="L18" s="48"/>
      <c r="M18" s="48"/>
      <c r="N18" s="48"/>
      <c r="O18" s="48"/>
      <c r="P18" s="48"/>
    </row>
    <row r="19" spans="2:16" ht="15" customHeight="1">
      <c r="B19" s="183"/>
      <c r="C19" s="183"/>
      <c r="D19" s="183"/>
      <c r="E19" s="183"/>
      <c r="F19" s="48" t="s">
        <v>177</v>
      </c>
      <c r="G19" s="48" t="s">
        <v>127</v>
      </c>
      <c r="H19" s="48" t="s">
        <v>127</v>
      </c>
      <c r="I19" s="48" t="s">
        <v>91</v>
      </c>
      <c r="J19" s="48"/>
      <c r="K19" s="48"/>
      <c r="L19" s="48"/>
      <c r="M19" s="48"/>
      <c r="N19" s="48"/>
      <c r="O19" s="48"/>
      <c r="P19" s="48"/>
    </row>
    <row r="20" spans="2:16" ht="15" customHeight="1">
      <c r="B20" s="183"/>
      <c r="C20" s="183"/>
      <c r="D20" s="183"/>
      <c r="E20" s="183"/>
      <c r="F20" s="48" t="s">
        <v>178</v>
      </c>
      <c r="G20" s="48" t="s">
        <v>128</v>
      </c>
      <c r="H20" s="48" t="s">
        <v>128</v>
      </c>
      <c r="I20" s="48" t="s">
        <v>91</v>
      </c>
      <c r="J20" s="48"/>
      <c r="K20" s="48"/>
      <c r="L20" s="48"/>
      <c r="M20" s="48"/>
      <c r="N20" s="48"/>
      <c r="O20" s="48"/>
      <c r="P20" s="48"/>
    </row>
    <row r="21" spans="2:16" ht="15" customHeight="1">
      <c r="B21" s="183"/>
      <c r="C21" s="183"/>
      <c r="D21" s="183"/>
      <c r="E21" s="183"/>
      <c r="F21" s="48" t="s">
        <v>179</v>
      </c>
      <c r="G21" s="48" t="s">
        <v>129</v>
      </c>
      <c r="H21" s="48" t="s">
        <v>129</v>
      </c>
      <c r="I21" s="48" t="s">
        <v>91</v>
      </c>
      <c r="J21" s="48"/>
      <c r="K21" s="48" t="s">
        <v>92</v>
      </c>
      <c r="L21" s="48"/>
      <c r="M21" s="48"/>
      <c r="N21" s="48"/>
      <c r="O21" s="48"/>
      <c r="P21" s="48"/>
    </row>
    <row r="22" spans="2:16" ht="15" customHeight="1">
      <c r="B22" s="183"/>
      <c r="C22" s="183"/>
      <c r="D22" s="183"/>
      <c r="E22" s="183"/>
      <c r="F22" s="48" t="s">
        <v>180</v>
      </c>
      <c r="G22" s="48" t="s">
        <v>130</v>
      </c>
      <c r="H22" s="48" t="s">
        <v>130</v>
      </c>
      <c r="I22" s="48" t="s">
        <v>91</v>
      </c>
      <c r="J22" s="48"/>
      <c r="K22" s="48" t="s">
        <v>92</v>
      </c>
      <c r="L22" s="48"/>
      <c r="M22" s="48"/>
      <c r="N22" s="48"/>
      <c r="O22" s="48"/>
      <c r="P22" s="48"/>
    </row>
    <row r="23" spans="2:16" ht="15" customHeight="1">
      <c r="B23" s="183"/>
      <c r="C23" s="183"/>
      <c r="D23" s="183"/>
      <c r="E23" s="183"/>
      <c r="F23" s="48" t="s">
        <v>181</v>
      </c>
      <c r="G23" s="48" t="s">
        <v>131</v>
      </c>
      <c r="H23" s="48" t="s">
        <v>131</v>
      </c>
      <c r="I23" s="48" t="s">
        <v>91</v>
      </c>
      <c r="J23" s="48"/>
      <c r="K23" s="48" t="s">
        <v>92</v>
      </c>
      <c r="L23" s="48"/>
      <c r="M23" s="48"/>
      <c r="N23" s="48"/>
      <c r="O23" s="48"/>
      <c r="P23" s="48"/>
    </row>
    <row r="24" spans="2:16" ht="15" customHeight="1">
      <c r="B24" s="183"/>
      <c r="C24" s="183"/>
      <c r="D24" s="183"/>
      <c r="E24" s="183"/>
      <c r="F24" s="48" t="s">
        <v>182</v>
      </c>
      <c r="G24" s="48" t="s">
        <v>132</v>
      </c>
      <c r="H24" s="48" t="s">
        <v>132</v>
      </c>
      <c r="I24" s="48" t="s">
        <v>91</v>
      </c>
      <c r="J24" s="48"/>
      <c r="K24" s="48" t="s">
        <v>92</v>
      </c>
      <c r="L24" s="48"/>
      <c r="M24" s="48"/>
      <c r="N24" s="48"/>
      <c r="O24" s="48"/>
      <c r="P24" s="48"/>
    </row>
    <row r="25" spans="2:16" ht="15" customHeight="1">
      <c r="B25" s="183"/>
      <c r="C25" s="183"/>
      <c r="D25" s="183"/>
      <c r="E25" s="183"/>
      <c r="F25" s="48" t="s">
        <v>183</v>
      </c>
      <c r="G25" s="48" t="s">
        <v>133</v>
      </c>
      <c r="H25" s="48" t="s">
        <v>133</v>
      </c>
      <c r="I25" s="48" t="s">
        <v>91</v>
      </c>
      <c r="J25" s="48"/>
      <c r="K25" s="48"/>
      <c r="L25" s="48"/>
      <c r="M25" s="48"/>
      <c r="N25" s="48"/>
      <c r="O25" s="48"/>
      <c r="P25" s="48"/>
    </row>
    <row r="26" spans="2:16" ht="15" customHeight="1">
      <c r="B26" s="183"/>
      <c r="C26" s="183"/>
      <c r="D26" s="183"/>
      <c r="E26" s="183"/>
      <c r="F26" s="48" t="s">
        <v>184</v>
      </c>
      <c r="G26" s="48" t="s">
        <v>134</v>
      </c>
      <c r="H26" s="48" t="s">
        <v>134</v>
      </c>
      <c r="I26" s="48" t="s">
        <v>101</v>
      </c>
      <c r="J26" s="48"/>
      <c r="K26" s="48" t="s">
        <v>92</v>
      </c>
      <c r="L26" s="48"/>
      <c r="M26" s="48"/>
      <c r="N26" s="48"/>
      <c r="O26" s="48"/>
      <c r="P26" s="48"/>
    </row>
    <row r="27" spans="2:16" ht="15" customHeight="1">
      <c r="B27" s="183"/>
      <c r="C27" s="183"/>
      <c r="D27" s="183"/>
      <c r="E27" s="183"/>
      <c r="F27" s="48" t="s">
        <v>185</v>
      </c>
      <c r="G27" s="48" t="s">
        <v>135</v>
      </c>
      <c r="H27" s="48" t="s">
        <v>135</v>
      </c>
      <c r="I27" s="48" t="s">
        <v>101</v>
      </c>
      <c r="J27" s="48"/>
      <c r="K27" s="48"/>
      <c r="L27" s="48"/>
      <c r="M27" s="48"/>
      <c r="N27" s="48"/>
      <c r="O27" s="48"/>
      <c r="P27" s="48"/>
    </row>
    <row r="28" spans="2:16" ht="15" customHeight="1">
      <c r="B28" s="183"/>
      <c r="C28" s="183"/>
      <c r="D28" s="183"/>
      <c r="E28" s="183"/>
      <c r="F28" s="48" t="s">
        <v>186</v>
      </c>
      <c r="G28" s="48" t="s">
        <v>158</v>
      </c>
      <c r="H28" s="48" t="s">
        <v>158</v>
      </c>
      <c r="I28" s="48" t="s">
        <v>91</v>
      </c>
      <c r="J28" s="48"/>
      <c r="K28" s="48" t="s">
        <v>92</v>
      </c>
      <c r="L28" s="48"/>
      <c r="M28" s="48"/>
      <c r="N28" s="48"/>
      <c r="O28" s="48"/>
      <c r="P28" s="48"/>
    </row>
    <row r="29" spans="2:16" ht="15" customHeight="1">
      <c r="B29" s="183"/>
      <c r="C29" s="183"/>
      <c r="D29" s="183"/>
      <c r="E29" s="183"/>
      <c r="F29" s="48" t="s">
        <v>187</v>
      </c>
      <c r="G29" s="48" t="s">
        <v>136</v>
      </c>
      <c r="H29" s="48" t="s">
        <v>136</v>
      </c>
      <c r="I29" s="48" t="s">
        <v>91</v>
      </c>
      <c r="J29" s="48"/>
      <c r="K29" s="48"/>
      <c r="L29" s="48"/>
      <c r="M29" s="48"/>
      <c r="N29" s="48"/>
      <c r="O29" s="48"/>
      <c r="P29" s="48"/>
    </row>
    <row r="30" spans="2:16" ht="15" customHeight="1">
      <c r="B30" s="183"/>
      <c r="C30" s="183"/>
      <c r="D30" s="183"/>
      <c r="E30" s="183"/>
      <c r="F30" s="48" t="s">
        <v>188</v>
      </c>
      <c r="G30" s="48" t="s">
        <v>137</v>
      </c>
      <c r="H30" s="48" t="s">
        <v>137</v>
      </c>
      <c r="I30" s="48" t="s">
        <v>91</v>
      </c>
      <c r="J30" s="48"/>
      <c r="K30" s="48"/>
      <c r="L30" s="48"/>
      <c r="M30" s="48"/>
      <c r="N30" s="48"/>
      <c r="O30" s="48"/>
      <c r="P30" s="48"/>
    </row>
    <row r="31" spans="2:16" ht="15" customHeight="1">
      <c r="B31" s="183"/>
      <c r="C31" s="183"/>
      <c r="D31" s="183"/>
      <c r="E31" s="183"/>
      <c r="F31" s="48" t="s">
        <v>189</v>
      </c>
      <c r="G31" s="48" t="s">
        <v>159</v>
      </c>
      <c r="H31" s="48" t="s">
        <v>159</v>
      </c>
      <c r="I31" s="48" t="s">
        <v>91</v>
      </c>
      <c r="J31" s="48"/>
      <c r="K31" s="48" t="s">
        <v>92</v>
      </c>
      <c r="L31" s="48"/>
      <c r="M31" s="48"/>
      <c r="N31" s="48"/>
      <c r="O31" s="48"/>
      <c r="P31" s="48"/>
    </row>
    <row r="32" spans="2:16" ht="15" customHeight="1">
      <c r="B32" s="183"/>
      <c r="C32" s="183"/>
      <c r="D32" s="183"/>
      <c r="E32" s="183"/>
      <c r="F32" s="48" t="s">
        <v>190</v>
      </c>
      <c r="G32" s="48" t="s">
        <v>138</v>
      </c>
      <c r="H32" s="48" t="s">
        <v>138</v>
      </c>
      <c r="I32" s="48" t="s">
        <v>91</v>
      </c>
      <c r="J32" s="48"/>
      <c r="K32" s="48"/>
      <c r="L32" s="48"/>
      <c r="M32" s="48"/>
      <c r="N32" s="48"/>
      <c r="O32" s="48"/>
      <c r="P32" s="48"/>
    </row>
    <row r="33" spans="1:51" ht="15" customHeight="1">
      <c r="B33" s="183"/>
      <c r="C33" s="183"/>
      <c r="D33" s="183"/>
      <c r="E33" s="183"/>
      <c r="F33" s="48" t="s">
        <v>191</v>
      </c>
      <c r="G33" s="48" t="s">
        <v>139</v>
      </c>
      <c r="H33" s="48" t="s">
        <v>139</v>
      </c>
      <c r="I33" s="48" t="s">
        <v>91</v>
      </c>
      <c r="J33" s="48"/>
      <c r="K33" s="48"/>
      <c r="L33" s="48"/>
      <c r="M33" s="48"/>
      <c r="N33" s="48"/>
      <c r="O33" s="48"/>
      <c r="P33" s="48"/>
    </row>
    <row r="34" spans="1:51" ht="15" customHeight="1">
      <c r="B34" s="183"/>
      <c r="C34" s="183"/>
      <c r="D34" s="183"/>
      <c r="E34" s="183"/>
      <c r="F34" s="48" t="s">
        <v>192</v>
      </c>
      <c r="G34" s="48" t="s">
        <v>99</v>
      </c>
      <c r="H34" s="48" t="s">
        <v>99</v>
      </c>
      <c r="I34" s="48" t="s">
        <v>140</v>
      </c>
      <c r="J34" s="48"/>
      <c r="K34" s="48" t="s">
        <v>92</v>
      </c>
      <c r="L34" s="48"/>
      <c r="M34" s="48"/>
      <c r="N34" s="48"/>
      <c r="O34" s="48"/>
      <c r="P34" s="48"/>
    </row>
    <row r="35" spans="1:51" ht="15" customHeight="1">
      <c r="B35" s="183"/>
      <c r="C35" s="183"/>
      <c r="D35" s="183"/>
      <c r="E35" s="183"/>
      <c r="F35" s="48" t="s">
        <v>193</v>
      </c>
      <c r="G35" s="48" t="s">
        <v>141</v>
      </c>
      <c r="H35" s="48" t="s">
        <v>141</v>
      </c>
      <c r="I35" s="48" t="s">
        <v>156</v>
      </c>
      <c r="J35" s="48"/>
      <c r="K35" s="48" t="s">
        <v>92</v>
      </c>
      <c r="L35" s="48"/>
      <c r="M35" s="48"/>
      <c r="N35" s="48"/>
      <c r="O35" s="48"/>
      <c r="P35" s="48"/>
    </row>
    <row r="36" spans="1:51" ht="15" customHeight="1">
      <c r="B36" s="183"/>
      <c r="C36" s="183"/>
      <c r="D36" s="183"/>
      <c r="E36" s="183"/>
      <c r="F36" s="48" t="s">
        <v>194</v>
      </c>
      <c r="G36" s="48" t="s">
        <v>142</v>
      </c>
      <c r="H36" s="48" t="s">
        <v>142</v>
      </c>
      <c r="I36" s="48" t="s">
        <v>156</v>
      </c>
      <c r="J36" s="48"/>
      <c r="K36" s="48"/>
      <c r="L36" s="48"/>
      <c r="M36" s="48"/>
      <c r="N36" s="48"/>
      <c r="O36" s="48"/>
      <c r="P36" s="48"/>
    </row>
    <row r="37" spans="1:51" ht="15" customHeight="1">
      <c r="B37" s="183"/>
      <c r="C37" s="183"/>
      <c r="D37" s="183"/>
      <c r="E37" s="183"/>
      <c r="F37" s="48" t="s">
        <v>195</v>
      </c>
      <c r="G37" s="48" t="s">
        <v>143</v>
      </c>
      <c r="H37" s="48" t="s">
        <v>143</v>
      </c>
      <c r="I37" s="48" t="s">
        <v>156</v>
      </c>
      <c r="J37" s="48"/>
      <c r="K37" s="48" t="s">
        <v>92</v>
      </c>
      <c r="L37" s="48"/>
      <c r="M37" s="48"/>
      <c r="N37" s="48"/>
      <c r="O37" s="48"/>
      <c r="P37" s="48"/>
    </row>
    <row r="38" spans="1:51" ht="15" customHeight="1">
      <c r="B38" s="183"/>
      <c r="C38" s="183"/>
      <c r="D38" s="183"/>
      <c r="E38" s="183"/>
      <c r="F38" s="48" t="s">
        <v>196</v>
      </c>
      <c r="G38" s="48" t="s">
        <v>144</v>
      </c>
      <c r="H38" s="48" t="s">
        <v>144</v>
      </c>
      <c r="I38" s="48" t="s">
        <v>156</v>
      </c>
      <c r="J38" s="48"/>
      <c r="K38" s="48"/>
      <c r="L38" s="48"/>
      <c r="M38" s="48"/>
      <c r="N38" s="48"/>
      <c r="O38" s="48"/>
      <c r="P38" s="48"/>
    </row>
    <row r="39" spans="1:51" ht="15" customHeight="1">
      <c r="B39" s="183"/>
      <c r="C39" s="183"/>
      <c r="D39" s="183"/>
      <c r="E39" s="183"/>
      <c r="F39" s="48" t="s">
        <v>197</v>
      </c>
      <c r="G39" s="48" t="s">
        <v>160</v>
      </c>
      <c r="H39" s="48" t="s">
        <v>160</v>
      </c>
      <c r="I39" s="48" t="s">
        <v>113</v>
      </c>
      <c r="J39" s="48"/>
      <c r="K39" s="48"/>
      <c r="L39" s="48"/>
      <c r="M39" s="48"/>
      <c r="N39" s="48"/>
      <c r="O39" s="48"/>
      <c r="P39" s="48"/>
    </row>
    <row r="40" spans="1:51" ht="15" customHeight="1">
      <c r="B40" s="183"/>
      <c r="C40" s="183"/>
      <c r="D40" s="183"/>
      <c r="E40" s="183"/>
      <c r="F40" s="48" t="s">
        <v>198</v>
      </c>
      <c r="G40" s="48" t="s">
        <v>161</v>
      </c>
      <c r="H40" s="48" t="s">
        <v>161</v>
      </c>
      <c r="I40" s="48" t="s">
        <v>103</v>
      </c>
      <c r="J40" s="48"/>
      <c r="K40" s="48"/>
      <c r="L40" s="48"/>
      <c r="M40" s="48"/>
      <c r="N40" s="48"/>
      <c r="O40" s="48"/>
      <c r="P40" s="48"/>
    </row>
    <row r="41" spans="1:51" ht="15" customHeight="1">
      <c r="B41" s="183"/>
      <c r="C41" s="183"/>
      <c r="D41" s="183"/>
      <c r="E41" s="183"/>
      <c r="F41" s="48" t="s">
        <v>199</v>
      </c>
      <c r="G41" s="48" t="s">
        <v>146</v>
      </c>
      <c r="H41" s="48" t="s">
        <v>146</v>
      </c>
      <c r="I41" s="48" t="s">
        <v>147</v>
      </c>
      <c r="J41" s="48"/>
      <c r="K41" s="48"/>
      <c r="L41" s="48"/>
      <c r="M41" s="48"/>
      <c r="N41" s="48"/>
      <c r="O41" s="48"/>
      <c r="P41" s="48"/>
    </row>
    <row r="42" spans="1:51" ht="15" customHeight="1">
      <c r="B42" s="183"/>
      <c r="C42" s="183"/>
      <c r="D42" s="183"/>
      <c r="E42" s="183"/>
      <c r="F42" s="48" t="s">
        <v>200</v>
      </c>
      <c r="G42" s="48" t="s">
        <v>104</v>
      </c>
      <c r="H42" s="48" t="s">
        <v>104</v>
      </c>
      <c r="I42" s="48" t="s">
        <v>105</v>
      </c>
      <c r="J42" s="48"/>
      <c r="K42" s="48"/>
      <c r="L42" s="48"/>
      <c r="M42" s="48"/>
      <c r="N42" s="48"/>
      <c r="O42" s="48"/>
      <c r="P42" s="48"/>
    </row>
    <row r="43" spans="1:51" ht="15" customHeight="1">
      <c r="B43" s="183"/>
      <c r="C43" s="183"/>
      <c r="D43" s="183"/>
      <c r="E43" s="183"/>
      <c r="F43" s="48" t="s">
        <v>201</v>
      </c>
      <c r="G43" s="48" t="s">
        <v>162</v>
      </c>
      <c r="H43" s="48" t="s">
        <v>162</v>
      </c>
      <c r="I43" s="48" t="s">
        <v>162</v>
      </c>
      <c r="J43" s="48"/>
      <c r="K43" s="48"/>
      <c r="L43" s="48"/>
      <c r="M43" s="48"/>
      <c r="N43" s="48"/>
      <c r="O43" s="48"/>
      <c r="P43" s="48"/>
    </row>
    <row r="44" spans="1:51" ht="15" customHeight="1">
      <c r="B44" s="183"/>
      <c r="C44" s="183"/>
      <c r="D44" s="183"/>
      <c r="E44" s="183"/>
      <c r="F44" s="48" t="s">
        <v>202</v>
      </c>
      <c r="G44" s="48" t="s">
        <v>145</v>
      </c>
      <c r="H44" s="48" t="s">
        <v>145</v>
      </c>
      <c r="I44" s="48" t="s">
        <v>145</v>
      </c>
      <c r="J44" s="48"/>
      <c r="K44" s="48"/>
      <c r="L44" s="48"/>
      <c r="M44" s="48"/>
      <c r="N44" s="48"/>
      <c r="O44" s="48"/>
      <c r="P44" s="48"/>
    </row>
    <row r="45" spans="1:51" ht="15" customHeight="1">
      <c r="A45" s="42"/>
      <c r="B45" s="183" t="s">
        <v>87</v>
      </c>
      <c r="C45" s="183" t="s">
        <v>88</v>
      </c>
      <c r="D45" s="183" t="s">
        <v>114</v>
      </c>
      <c r="E45" s="183" t="s">
        <v>114</v>
      </c>
      <c r="F45" s="48" t="s">
        <v>89</v>
      </c>
      <c r="G45" s="48" t="s">
        <v>90</v>
      </c>
      <c r="H45" s="48" t="s">
        <v>90</v>
      </c>
      <c r="I45" s="48" t="s">
        <v>91</v>
      </c>
      <c r="J45" s="48"/>
      <c r="K45" s="48" t="s">
        <v>92</v>
      </c>
      <c r="L45" s="48"/>
      <c r="M45" s="48"/>
      <c r="N45" s="48"/>
      <c r="O45" s="48"/>
      <c r="P45" s="48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</row>
    <row r="46" spans="1:51" ht="15" customHeight="1">
      <c r="A46" s="42"/>
      <c r="B46" s="183"/>
      <c r="C46" s="183"/>
      <c r="D46" s="183"/>
      <c r="E46" s="183"/>
      <c r="F46" s="48" t="s">
        <v>163</v>
      </c>
      <c r="G46" s="48" t="s">
        <v>93</v>
      </c>
      <c r="H46" s="48" t="s">
        <v>93</v>
      </c>
      <c r="I46" s="48" t="s">
        <v>94</v>
      </c>
      <c r="J46" s="48"/>
      <c r="K46" s="48"/>
      <c r="L46" s="48" t="s">
        <v>89</v>
      </c>
      <c r="M46" s="48" t="s">
        <v>92</v>
      </c>
      <c r="N46" s="48" t="s">
        <v>115</v>
      </c>
      <c r="O46" s="48"/>
      <c r="P46" s="48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</row>
    <row r="47" spans="1:51" ht="15" customHeight="1">
      <c r="A47" s="42"/>
      <c r="B47" s="183"/>
      <c r="C47" s="183"/>
      <c r="D47" s="183"/>
      <c r="E47" s="183"/>
      <c r="F47" s="48" t="s">
        <v>164</v>
      </c>
      <c r="G47" s="48" t="s">
        <v>95</v>
      </c>
      <c r="H47" s="48" t="s">
        <v>95</v>
      </c>
      <c r="I47" s="48" t="s">
        <v>91</v>
      </c>
      <c r="J47" s="48"/>
      <c r="K47" s="48"/>
      <c r="L47" s="48"/>
      <c r="M47" s="48"/>
      <c r="N47" s="48"/>
      <c r="O47" s="48"/>
      <c r="P47" s="48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</row>
    <row r="48" spans="1:51" ht="15" customHeight="1">
      <c r="A48" s="42"/>
      <c r="B48" s="183"/>
      <c r="C48" s="183"/>
      <c r="D48" s="183"/>
      <c r="E48" s="183"/>
      <c r="F48" s="48" t="s">
        <v>165</v>
      </c>
      <c r="G48" s="48" t="s">
        <v>96</v>
      </c>
      <c r="H48" s="48" t="s">
        <v>96</v>
      </c>
      <c r="I48" s="48" t="s">
        <v>97</v>
      </c>
      <c r="J48" s="48"/>
      <c r="K48" s="48"/>
      <c r="L48" s="48"/>
      <c r="M48" s="48"/>
      <c r="N48" s="48"/>
      <c r="O48" s="48"/>
      <c r="P48" s="48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</row>
    <row r="49" spans="1:62" ht="15" customHeight="1">
      <c r="A49" s="42"/>
      <c r="B49" s="183"/>
      <c r="C49" s="183"/>
      <c r="D49" s="183"/>
      <c r="E49" s="183"/>
      <c r="F49" s="48" t="s">
        <v>166</v>
      </c>
      <c r="G49" s="48" t="s">
        <v>98</v>
      </c>
      <c r="H49" s="48" t="s">
        <v>98</v>
      </c>
      <c r="I49" s="48" t="s">
        <v>91</v>
      </c>
      <c r="J49" s="48"/>
      <c r="K49" s="48"/>
      <c r="L49" s="48"/>
      <c r="M49" s="48"/>
      <c r="N49" s="48"/>
      <c r="O49" s="48"/>
      <c r="P49" s="48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</row>
    <row r="50" spans="1:62" ht="15" customHeight="1">
      <c r="A50" s="42"/>
      <c r="B50" s="183"/>
      <c r="C50" s="183"/>
      <c r="D50" s="183"/>
      <c r="E50" s="183"/>
      <c r="F50" s="48" t="s">
        <v>167</v>
      </c>
      <c r="G50" s="48" t="s">
        <v>99</v>
      </c>
      <c r="H50" s="48" t="s">
        <v>99</v>
      </c>
      <c r="I50" s="48" t="s">
        <v>91</v>
      </c>
      <c r="J50" s="48"/>
      <c r="K50" s="48"/>
      <c r="L50" s="48"/>
      <c r="M50" s="48"/>
      <c r="N50" s="48"/>
      <c r="O50" s="48"/>
      <c r="P50" s="48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</row>
    <row r="51" spans="1:62" ht="15" customHeight="1">
      <c r="A51" s="42"/>
      <c r="B51" s="183"/>
      <c r="C51" s="183"/>
      <c r="D51" s="183"/>
      <c r="E51" s="183"/>
      <c r="F51" s="48" t="s">
        <v>168</v>
      </c>
      <c r="G51" s="48" t="s">
        <v>100</v>
      </c>
      <c r="H51" s="48" t="s">
        <v>100</v>
      </c>
      <c r="I51" s="48" t="s">
        <v>101</v>
      </c>
      <c r="J51" s="48"/>
      <c r="K51" s="48"/>
      <c r="L51" s="48"/>
      <c r="M51" s="48"/>
      <c r="N51" s="48"/>
      <c r="O51" s="48"/>
      <c r="P51" s="48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</row>
    <row r="52" spans="1:62" s="5" customFormat="1" ht="15" customHeight="1">
      <c r="A52" s="42"/>
      <c r="B52" s="183"/>
      <c r="C52" s="183"/>
      <c r="D52" s="183"/>
      <c r="E52" s="183"/>
      <c r="F52" s="48" t="s">
        <v>169</v>
      </c>
      <c r="G52" s="48" t="s">
        <v>102</v>
      </c>
      <c r="H52" s="48" t="s">
        <v>102</v>
      </c>
      <c r="I52" s="48" t="s">
        <v>103</v>
      </c>
      <c r="J52" s="48"/>
      <c r="K52" s="48"/>
      <c r="L52" s="48"/>
      <c r="M52" s="48"/>
      <c r="N52" s="48"/>
      <c r="O52" s="48"/>
      <c r="P52" s="48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BI52" s="1"/>
      <c r="BJ52" s="1"/>
    </row>
    <row r="53" spans="1:62" ht="15" customHeight="1">
      <c r="A53" s="40"/>
      <c r="B53" s="183"/>
      <c r="C53" s="183"/>
      <c r="D53" s="183"/>
      <c r="E53" s="183"/>
      <c r="F53" s="48" t="s">
        <v>170</v>
      </c>
      <c r="G53" s="48" t="s">
        <v>104</v>
      </c>
      <c r="H53" s="48" t="s">
        <v>104</v>
      </c>
      <c r="I53" s="48" t="s">
        <v>105</v>
      </c>
      <c r="J53" s="48"/>
      <c r="K53" s="48"/>
      <c r="L53" s="48"/>
      <c r="M53" s="48"/>
      <c r="N53" s="48"/>
      <c r="O53" s="48"/>
      <c r="P53" s="48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</row>
    <row r="54" spans="1:62" ht="15" customHeight="1">
      <c r="A54" s="40"/>
      <c r="B54" s="183"/>
      <c r="C54" s="183"/>
      <c r="D54" s="183"/>
      <c r="E54" s="183"/>
      <c r="F54" s="48" t="s">
        <v>171</v>
      </c>
      <c r="G54" s="48" t="s">
        <v>106</v>
      </c>
      <c r="H54" s="48" t="s">
        <v>106</v>
      </c>
      <c r="I54" s="48" t="s">
        <v>91</v>
      </c>
      <c r="J54" s="48"/>
      <c r="K54" s="48"/>
      <c r="L54" s="48"/>
      <c r="M54" s="48"/>
      <c r="N54" s="48"/>
      <c r="O54" s="48"/>
      <c r="P54" s="48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</row>
    <row r="55" spans="1:62" ht="15" customHeight="1">
      <c r="A55" s="40"/>
      <c r="B55" s="183"/>
      <c r="C55" s="183"/>
      <c r="D55" s="183"/>
      <c r="E55" s="183"/>
      <c r="F55" s="48" t="s">
        <v>172</v>
      </c>
      <c r="G55" s="48" t="s">
        <v>107</v>
      </c>
      <c r="H55" s="48" t="s">
        <v>107</v>
      </c>
      <c r="I55" s="48" t="s">
        <v>91</v>
      </c>
      <c r="J55" s="48"/>
      <c r="K55" s="48"/>
      <c r="L55" s="48"/>
      <c r="M55" s="48"/>
      <c r="N55" s="48"/>
      <c r="O55" s="48"/>
      <c r="P55" s="48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</row>
    <row r="56" spans="1:62" ht="15" customHeight="1">
      <c r="A56" s="40"/>
      <c r="B56" s="183"/>
      <c r="C56" s="183"/>
      <c r="D56" s="183"/>
      <c r="E56" s="183"/>
      <c r="F56" s="48" t="s">
        <v>173</v>
      </c>
      <c r="G56" s="48" t="s">
        <v>108</v>
      </c>
      <c r="H56" s="48" t="s">
        <v>108</v>
      </c>
      <c r="I56" s="48" t="s">
        <v>91</v>
      </c>
      <c r="J56" s="48"/>
      <c r="K56" s="48"/>
      <c r="L56" s="48"/>
      <c r="M56" s="48"/>
      <c r="N56" s="48"/>
      <c r="O56" s="48"/>
      <c r="P56" s="48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</row>
    <row r="57" spans="1:62" ht="15" customHeight="1">
      <c r="A57" s="39"/>
      <c r="B57" s="183"/>
      <c r="C57" s="183"/>
      <c r="D57" s="183"/>
      <c r="E57" s="183"/>
      <c r="F57" s="48" t="s">
        <v>174</v>
      </c>
      <c r="G57" s="48" t="s">
        <v>116</v>
      </c>
      <c r="H57" s="48" t="s">
        <v>116</v>
      </c>
      <c r="I57" s="48" t="s">
        <v>91</v>
      </c>
      <c r="J57" s="48"/>
      <c r="K57" s="48"/>
      <c r="L57" s="48"/>
      <c r="M57" s="48"/>
      <c r="N57" s="48"/>
      <c r="O57" s="48"/>
      <c r="P57" s="48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7"/>
    </row>
    <row r="58" spans="1:62" ht="15" customHeight="1">
      <c r="A58" s="39"/>
      <c r="B58" s="183"/>
      <c r="C58" s="183"/>
      <c r="D58" s="183"/>
      <c r="E58" s="183"/>
      <c r="F58" s="48" t="s">
        <v>175</v>
      </c>
      <c r="G58" s="48" t="s">
        <v>109</v>
      </c>
      <c r="H58" s="48" t="s">
        <v>109</v>
      </c>
      <c r="I58" s="48" t="s">
        <v>91</v>
      </c>
      <c r="J58" s="48"/>
      <c r="K58" s="48"/>
      <c r="L58" s="48"/>
      <c r="M58" s="48"/>
      <c r="N58" s="48"/>
      <c r="O58" s="48"/>
      <c r="P58" s="48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7"/>
    </row>
    <row r="59" spans="1:62" ht="15" customHeight="1">
      <c r="A59" s="40"/>
      <c r="B59" s="183"/>
      <c r="C59" s="183"/>
      <c r="D59" s="183"/>
      <c r="E59" s="183"/>
      <c r="F59" s="48" t="s">
        <v>176</v>
      </c>
      <c r="G59" s="48" t="s">
        <v>110</v>
      </c>
      <c r="H59" s="48" t="s">
        <v>110</v>
      </c>
      <c r="I59" s="48" t="s">
        <v>91</v>
      </c>
      <c r="J59" s="48"/>
      <c r="K59" s="48"/>
      <c r="L59" s="48"/>
      <c r="M59" s="48"/>
      <c r="N59" s="48"/>
      <c r="O59" s="48"/>
      <c r="P59" s="48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</row>
    <row r="60" spans="1:62" ht="15" customHeight="1">
      <c r="A60" s="40"/>
      <c r="B60" s="183" t="s">
        <v>87</v>
      </c>
      <c r="C60" s="183" t="s">
        <v>88</v>
      </c>
      <c r="D60" s="183" t="s">
        <v>111</v>
      </c>
      <c r="E60" s="183" t="s">
        <v>111</v>
      </c>
      <c r="F60" s="48" t="s">
        <v>89</v>
      </c>
      <c r="G60" s="48" t="s">
        <v>90</v>
      </c>
      <c r="H60" s="48" t="s">
        <v>90</v>
      </c>
      <c r="I60" s="48" t="s">
        <v>91</v>
      </c>
      <c r="J60" s="48"/>
      <c r="K60" s="48" t="s">
        <v>92</v>
      </c>
      <c r="L60" s="48"/>
      <c r="M60" s="48"/>
      <c r="N60" s="48"/>
      <c r="O60" s="48"/>
      <c r="P60" s="48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</row>
    <row r="61" spans="1:62" ht="15" customHeight="1">
      <c r="A61" s="40"/>
      <c r="B61" s="183"/>
      <c r="C61" s="183"/>
      <c r="D61" s="183"/>
      <c r="E61" s="183"/>
      <c r="F61" s="48" t="s">
        <v>163</v>
      </c>
      <c r="G61" s="48" t="s">
        <v>93</v>
      </c>
      <c r="H61" s="48" t="s">
        <v>93</v>
      </c>
      <c r="I61" s="48" t="s">
        <v>94</v>
      </c>
      <c r="J61" s="48"/>
      <c r="K61" s="48"/>
      <c r="L61" s="48" t="s">
        <v>89</v>
      </c>
      <c r="M61" s="48" t="s">
        <v>92</v>
      </c>
      <c r="N61" s="48" t="s">
        <v>115</v>
      </c>
      <c r="O61" s="48"/>
      <c r="P61" s="48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</row>
    <row r="62" spans="1:62" ht="15" customHeight="1">
      <c r="A62" s="42"/>
      <c r="B62" s="183"/>
      <c r="C62" s="183"/>
      <c r="D62" s="183"/>
      <c r="E62" s="183"/>
      <c r="F62" s="48" t="s">
        <v>164</v>
      </c>
      <c r="G62" s="48" t="s">
        <v>95</v>
      </c>
      <c r="H62" s="48" t="s">
        <v>95</v>
      </c>
      <c r="I62" s="48" t="s">
        <v>91</v>
      </c>
      <c r="J62" s="48"/>
      <c r="K62" s="48"/>
      <c r="L62" s="48"/>
      <c r="M62" s="48"/>
      <c r="N62" s="48"/>
      <c r="O62" s="48"/>
      <c r="P62" s="48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</row>
    <row r="63" spans="1:62" ht="15" customHeight="1">
      <c r="A63" s="42"/>
      <c r="B63" s="183"/>
      <c r="C63" s="183"/>
      <c r="D63" s="183"/>
      <c r="E63" s="183"/>
      <c r="F63" s="48" t="s">
        <v>165</v>
      </c>
      <c r="G63" s="48" t="s">
        <v>96</v>
      </c>
      <c r="H63" s="48" t="s">
        <v>96</v>
      </c>
      <c r="I63" s="48" t="s">
        <v>97</v>
      </c>
      <c r="J63" s="48"/>
      <c r="K63" s="48"/>
      <c r="L63" s="48"/>
      <c r="M63" s="48"/>
      <c r="N63" s="48"/>
      <c r="O63" s="48"/>
      <c r="P63" s="48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</row>
    <row r="64" spans="1:62" ht="15" customHeight="1">
      <c r="A64" s="42"/>
      <c r="B64" s="183"/>
      <c r="C64" s="183"/>
      <c r="D64" s="183"/>
      <c r="E64" s="183"/>
      <c r="F64" s="48" t="s">
        <v>166</v>
      </c>
      <c r="G64" s="48" t="s">
        <v>98</v>
      </c>
      <c r="H64" s="48" t="s">
        <v>98</v>
      </c>
      <c r="I64" s="48" t="s">
        <v>91</v>
      </c>
      <c r="J64" s="48"/>
      <c r="K64" s="48"/>
      <c r="L64" s="48"/>
      <c r="M64" s="48"/>
      <c r="N64" s="48"/>
      <c r="O64" s="48"/>
      <c r="P64" s="48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</row>
    <row r="65" spans="1:51" ht="15" customHeight="1">
      <c r="A65" s="42"/>
      <c r="B65" s="183"/>
      <c r="C65" s="183"/>
      <c r="D65" s="183"/>
      <c r="E65" s="183"/>
      <c r="F65" s="48" t="s">
        <v>167</v>
      </c>
      <c r="G65" s="48" t="s">
        <v>99</v>
      </c>
      <c r="H65" s="48" t="s">
        <v>99</v>
      </c>
      <c r="I65" s="48" t="s">
        <v>91</v>
      </c>
      <c r="J65" s="48"/>
      <c r="K65" s="48"/>
      <c r="L65" s="48"/>
      <c r="M65" s="48"/>
      <c r="N65" s="48"/>
      <c r="O65" s="48"/>
      <c r="P65" s="48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</row>
    <row r="66" spans="1:51" ht="15" customHeight="1">
      <c r="A66" s="42"/>
      <c r="B66" s="183"/>
      <c r="C66" s="183"/>
      <c r="D66" s="183"/>
      <c r="E66" s="183"/>
      <c r="F66" s="48" t="s">
        <v>168</v>
      </c>
      <c r="G66" s="48" t="s">
        <v>100</v>
      </c>
      <c r="H66" s="48" t="s">
        <v>100</v>
      </c>
      <c r="I66" s="48" t="s">
        <v>101</v>
      </c>
      <c r="J66" s="48"/>
      <c r="K66" s="48"/>
      <c r="L66" s="48"/>
      <c r="M66" s="48"/>
      <c r="N66" s="48"/>
      <c r="O66" s="48"/>
      <c r="P66" s="48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</row>
    <row r="67" spans="1:51" ht="15" customHeight="1">
      <c r="A67" s="42"/>
      <c r="B67" s="183"/>
      <c r="C67" s="183"/>
      <c r="D67" s="183"/>
      <c r="E67" s="183"/>
      <c r="F67" s="48" t="s">
        <v>169</v>
      </c>
      <c r="G67" s="48" t="s">
        <v>102</v>
      </c>
      <c r="H67" s="48" t="s">
        <v>102</v>
      </c>
      <c r="I67" s="48" t="s">
        <v>103</v>
      </c>
      <c r="J67" s="48"/>
      <c r="K67" s="48"/>
      <c r="L67" s="48"/>
      <c r="M67" s="48"/>
      <c r="N67" s="48"/>
      <c r="O67" s="48"/>
      <c r="P67" s="48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</row>
    <row r="68" spans="1:51" ht="15" customHeight="1">
      <c r="A68" s="42"/>
      <c r="B68" s="183"/>
      <c r="C68" s="183"/>
      <c r="D68" s="183"/>
      <c r="E68" s="183"/>
      <c r="F68" s="48" t="s">
        <v>170</v>
      </c>
      <c r="G68" s="48" t="s">
        <v>104</v>
      </c>
      <c r="H68" s="48" t="s">
        <v>104</v>
      </c>
      <c r="I68" s="48" t="s">
        <v>105</v>
      </c>
      <c r="J68" s="48"/>
      <c r="K68" s="48"/>
      <c r="L68" s="48"/>
      <c r="M68" s="48"/>
      <c r="N68" s="48"/>
      <c r="O68" s="48"/>
      <c r="P68" s="48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</row>
    <row r="69" spans="1:51" ht="15" customHeight="1">
      <c r="B69" s="183"/>
      <c r="C69" s="183"/>
      <c r="D69" s="183"/>
      <c r="E69" s="183"/>
      <c r="F69" s="48" t="s">
        <v>171</v>
      </c>
      <c r="G69" s="48" t="s">
        <v>106</v>
      </c>
      <c r="H69" s="48" t="s">
        <v>106</v>
      </c>
      <c r="I69" s="48" t="s">
        <v>91</v>
      </c>
      <c r="J69" s="48"/>
      <c r="K69" s="48"/>
      <c r="L69" s="48"/>
      <c r="M69" s="48"/>
      <c r="N69" s="48"/>
      <c r="O69" s="48"/>
      <c r="P69" s="48"/>
    </row>
    <row r="70" spans="1:51" ht="15" customHeight="1">
      <c r="B70" s="183"/>
      <c r="C70" s="183"/>
      <c r="D70" s="183"/>
      <c r="E70" s="183"/>
      <c r="F70" s="48" t="s">
        <v>172</v>
      </c>
      <c r="G70" s="48" t="s">
        <v>107</v>
      </c>
      <c r="H70" s="48" t="s">
        <v>107</v>
      </c>
      <c r="I70" s="48" t="s">
        <v>91</v>
      </c>
      <c r="J70" s="48"/>
      <c r="K70" s="48"/>
      <c r="L70" s="48"/>
      <c r="M70" s="48"/>
      <c r="N70" s="48"/>
      <c r="O70" s="48"/>
      <c r="P70" s="48"/>
    </row>
    <row r="71" spans="1:51" ht="15" customHeight="1">
      <c r="B71" s="183"/>
      <c r="C71" s="183"/>
      <c r="D71" s="183"/>
      <c r="E71" s="183"/>
      <c r="F71" s="48" t="s">
        <v>173</v>
      </c>
      <c r="G71" s="48" t="s">
        <v>108</v>
      </c>
      <c r="H71" s="48" t="s">
        <v>108</v>
      </c>
      <c r="I71" s="48" t="s">
        <v>91</v>
      </c>
      <c r="J71" s="48"/>
      <c r="K71" s="48"/>
      <c r="L71" s="48"/>
      <c r="M71" s="48"/>
      <c r="N71" s="48"/>
      <c r="O71" s="48"/>
      <c r="P71" s="48"/>
    </row>
    <row r="72" spans="1:51" ht="15" customHeight="1">
      <c r="B72" s="183"/>
      <c r="C72" s="183"/>
      <c r="D72" s="183"/>
      <c r="E72" s="183"/>
      <c r="F72" s="48" t="s">
        <v>174</v>
      </c>
      <c r="G72" s="48" t="s">
        <v>116</v>
      </c>
      <c r="H72" s="48" t="s">
        <v>116</v>
      </c>
      <c r="I72" s="48" t="s">
        <v>91</v>
      </c>
      <c r="J72" s="48"/>
      <c r="K72" s="48"/>
      <c r="L72" s="48"/>
      <c r="M72" s="48"/>
      <c r="N72" s="48"/>
      <c r="O72" s="48"/>
      <c r="P72" s="48"/>
    </row>
    <row r="73" spans="1:51" ht="15" customHeight="1">
      <c r="B73" s="183"/>
      <c r="C73" s="183"/>
      <c r="D73" s="183"/>
      <c r="E73" s="183"/>
      <c r="F73" s="48" t="s">
        <v>175</v>
      </c>
      <c r="G73" s="48" t="s">
        <v>112</v>
      </c>
      <c r="H73" s="48" t="s">
        <v>112</v>
      </c>
      <c r="I73" s="48" t="s">
        <v>113</v>
      </c>
      <c r="J73" s="48"/>
      <c r="K73" s="48"/>
      <c r="L73" s="48"/>
      <c r="M73" s="48"/>
      <c r="N73" s="48"/>
      <c r="O73" s="48"/>
      <c r="P73" s="48"/>
    </row>
    <row r="74" spans="1:51" ht="15" customHeight="1">
      <c r="B74" s="183" t="s">
        <v>117</v>
      </c>
      <c r="C74" s="183" t="s">
        <v>88</v>
      </c>
      <c r="D74" s="183" t="s">
        <v>149</v>
      </c>
      <c r="E74" s="183" t="s">
        <v>149</v>
      </c>
      <c r="F74" s="48" t="s">
        <v>89</v>
      </c>
      <c r="G74" s="48" t="s">
        <v>116</v>
      </c>
      <c r="H74" s="48" t="s">
        <v>116</v>
      </c>
      <c r="I74" s="48" t="s">
        <v>94</v>
      </c>
      <c r="J74" s="48"/>
      <c r="K74" s="48"/>
      <c r="L74" s="48" t="s">
        <v>89</v>
      </c>
      <c r="M74" s="48" t="s">
        <v>92</v>
      </c>
      <c r="N74" s="48" t="s">
        <v>115</v>
      </c>
      <c r="O74" s="48"/>
      <c r="P74" s="48"/>
    </row>
    <row r="75" spans="1:51" ht="15" customHeight="1">
      <c r="B75" s="183"/>
      <c r="C75" s="183"/>
      <c r="D75" s="183"/>
      <c r="E75" s="183"/>
      <c r="F75" s="48" t="s">
        <v>163</v>
      </c>
      <c r="G75" s="48" t="s">
        <v>150</v>
      </c>
      <c r="H75" s="48" t="s">
        <v>150</v>
      </c>
      <c r="I75" s="48" t="s">
        <v>91</v>
      </c>
      <c r="J75" s="48"/>
      <c r="K75" s="48"/>
      <c r="L75" s="48"/>
      <c r="M75" s="48"/>
      <c r="N75" s="48"/>
      <c r="O75" s="48"/>
      <c r="P75" s="48"/>
    </row>
    <row r="76" spans="1:51" ht="15" customHeight="1">
      <c r="B76" s="183"/>
      <c r="C76" s="183"/>
      <c r="D76" s="183"/>
      <c r="E76" s="183"/>
      <c r="F76" s="48" t="s">
        <v>164</v>
      </c>
      <c r="G76" s="48" t="s">
        <v>129</v>
      </c>
      <c r="H76" s="48" t="s">
        <v>129</v>
      </c>
      <c r="I76" s="48" t="s">
        <v>91</v>
      </c>
      <c r="J76" s="48"/>
      <c r="K76" s="48"/>
      <c r="L76" s="48"/>
      <c r="M76" s="48"/>
      <c r="N76" s="48"/>
      <c r="O76" s="48"/>
      <c r="P76" s="48"/>
    </row>
    <row r="77" spans="1:51" ht="15" customHeight="1">
      <c r="B77" s="183"/>
      <c r="C77" s="183"/>
      <c r="D77" s="183"/>
      <c r="E77" s="183"/>
      <c r="F77" s="48" t="s">
        <v>165</v>
      </c>
      <c r="G77" s="48" t="s">
        <v>130</v>
      </c>
      <c r="H77" s="48" t="s">
        <v>130</v>
      </c>
      <c r="I77" s="48" t="s">
        <v>91</v>
      </c>
      <c r="J77" s="48"/>
      <c r="K77" s="48"/>
      <c r="L77" s="48"/>
      <c r="M77" s="48"/>
      <c r="N77" s="48"/>
      <c r="O77" s="48"/>
      <c r="P77" s="48"/>
    </row>
    <row r="78" spans="1:51" ht="15" customHeight="1">
      <c r="B78" s="183"/>
      <c r="C78" s="183"/>
      <c r="D78" s="183"/>
      <c r="E78" s="183"/>
      <c r="F78" s="48" t="s">
        <v>166</v>
      </c>
      <c r="G78" s="48" t="s">
        <v>108</v>
      </c>
      <c r="H78" s="48" t="s">
        <v>108</v>
      </c>
      <c r="I78" s="48" t="s">
        <v>91</v>
      </c>
      <c r="J78" s="48"/>
      <c r="K78" s="48"/>
      <c r="L78" s="48"/>
      <c r="M78" s="48"/>
      <c r="N78" s="48"/>
      <c r="O78" s="48"/>
      <c r="P78" s="48"/>
    </row>
    <row r="79" spans="1:51" ht="15" customHeight="1">
      <c r="B79" s="183"/>
      <c r="C79" s="183"/>
      <c r="D79" s="183"/>
      <c r="E79" s="183"/>
      <c r="F79" s="48" t="s">
        <v>167</v>
      </c>
      <c r="G79" s="48" t="s">
        <v>136</v>
      </c>
      <c r="H79" s="48" t="s">
        <v>136</v>
      </c>
      <c r="I79" s="48" t="s">
        <v>91</v>
      </c>
      <c r="J79" s="48"/>
      <c r="K79" s="48"/>
      <c r="L79" s="48"/>
      <c r="M79" s="48"/>
      <c r="N79" s="48"/>
      <c r="O79" s="48"/>
      <c r="P79" s="48"/>
    </row>
    <row r="80" spans="1:51" ht="15" customHeight="1">
      <c r="B80" s="183"/>
      <c r="C80" s="183"/>
      <c r="D80" s="183"/>
      <c r="E80" s="183"/>
      <c r="F80" s="48" t="s">
        <v>168</v>
      </c>
      <c r="G80" s="48" t="s">
        <v>151</v>
      </c>
      <c r="H80" s="48" t="s">
        <v>151</v>
      </c>
      <c r="I80" s="48" t="s">
        <v>91</v>
      </c>
      <c r="J80" s="48"/>
      <c r="K80" s="48"/>
      <c r="L80" s="48"/>
      <c r="M80" s="48"/>
      <c r="N80" s="48"/>
      <c r="O80" s="48"/>
      <c r="P80" s="48"/>
    </row>
    <row r="81" spans="2:16" ht="15" customHeight="1">
      <c r="B81" s="183"/>
      <c r="C81" s="183"/>
      <c r="D81" s="183"/>
      <c r="E81" s="183"/>
      <c r="F81" s="48" t="s">
        <v>169</v>
      </c>
      <c r="G81" s="48" t="s">
        <v>152</v>
      </c>
      <c r="H81" s="48" t="s">
        <v>152</v>
      </c>
      <c r="I81" s="48" t="s">
        <v>91</v>
      </c>
      <c r="J81" s="48"/>
      <c r="K81" s="48"/>
      <c r="L81" s="48"/>
      <c r="M81" s="48"/>
      <c r="N81" s="48"/>
      <c r="O81" s="48"/>
      <c r="P81" s="48"/>
    </row>
    <row r="82" spans="2:16" ht="15" customHeight="1">
      <c r="B82" s="183"/>
      <c r="C82" s="183"/>
      <c r="D82" s="183"/>
      <c r="E82" s="183"/>
      <c r="F82" s="48" t="s">
        <v>170</v>
      </c>
      <c r="G82" s="48" t="s">
        <v>153</v>
      </c>
      <c r="H82" s="48" t="s">
        <v>153</v>
      </c>
      <c r="I82" s="48" t="s">
        <v>91</v>
      </c>
      <c r="J82" s="48"/>
      <c r="K82" s="48"/>
      <c r="L82" s="48"/>
      <c r="M82" s="48"/>
      <c r="N82" s="48"/>
      <c r="O82" s="48"/>
      <c r="P82" s="48"/>
    </row>
    <row r="83" spans="2:16" ht="15" customHeight="1">
      <c r="B83" s="183"/>
      <c r="C83" s="183"/>
      <c r="D83" s="183"/>
      <c r="E83" s="183"/>
      <c r="F83" s="48" t="s">
        <v>171</v>
      </c>
      <c r="G83" s="48" t="s">
        <v>154</v>
      </c>
      <c r="H83" s="48" t="s">
        <v>154</v>
      </c>
      <c r="I83" s="48" t="s">
        <v>97</v>
      </c>
      <c r="J83" s="48"/>
      <c r="K83" s="48"/>
      <c r="L83" s="48"/>
      <c r="M83" s="48"/>
      <c r="N83" s="48"/>
      <c r="O83" s="48"/>
      <c r="P83" s="48"/>
    </row>
    <row r="84" spans="2:16" ht="15" customHeight="1">
      <c r="B84" s="183"/>
      <c r="C84" s="183"/>
      <c r="D84" s="183"/>
      <c r="E84" s="183"/>
      <c r="F84" s="48" t="s">
        <v>172</v>
      </c>
      <c r="G84" s="48" t="s">
        <v>103</v>
      </c>
      <c r="H84" s="48" t="s">
        <v>103</v>
      </c>
      <c r="I84" s="48" t="s">
        <v>103</v>
      </c>
      <c r="J84" s="48"/>
      <c r="K84" s="48"/>
      <c r="L84" s="48"/>
      <c r="M84" s="48"/>
      <c r="N84" s="48"/>
      <c r="O84" s="48"/>
      <c r="P84" s="48"/>
    </row>
    <row r="85" spans="2:16" ht="15" customHeight="1">
      <c r="B85" s="183"/>
      <c r="C85" s="183"/>
      <c r="D85" s="183"/>
      <c r="E85" s="183"/>
      <c r="F85" s="48" t="s">
        <v>173</v>
      </c>
      <c r="G85" s="48" t="s">
        <v>121</v>
      </c>
      <c r="H85" s="48" t="s">
        <v>121</v>
      </c>
      <c r="I85" s="48" t="s">
        <v>91</v>
      </c>
      <c r="J85" s="48"/>
      <c r="K85" s="48"/>
      <c r="L85" s="48"/>
      <c r="M85" s="48"/>
      <c r="N85" s="48"/>
      <c r="O85" s="48"/>
      <c r="P85" s="48"/>
    </row>
    <row r="86" spans="2:16" ht="15" customHeight="1">
      <c r="B86" s="183"/>
      <c r="C86" s="183"/>
      <c r="D86" s="183"/>
      <c r="E86" s="183"/>
      <c r="F86" s="48" t="s">
        <v>174</v>
      </c>
      <c r="G86" s="48" t="s">
        <v>107</v>
      </c>
      <c r="H86" s="48" t="s">
        <v>107</v>
      </c>
      <c r="I86" s="48" t="s">
        <v>91</v>
      </c>
      <c r="J86" s="48"/>
      <c r="K86" s="48"/>
      <c r="L86" s="48"/>
      <c r="M86" s="48"/>
      <c r="N86" s="48"/>
      <c r="O86" s="48"/>
      <c r="P86" s="48"/>
    </row>
    <row r="87" spans="2:16" ht="15" customHeight="1">
      <c r="B87" s="183"/>
      <c r="C87" s="183"/>
      <c r="D87" s="183"/>
      <c r="E87" s="183"/>
      <c r="F87" s="48" t="s">
        <v>175</v>
      </c>
      <c r="G87" s="48" t="s">
        <v>104</v>
      </c>
      <c r="H87" s="48" t="s">
        <v>104</v>
      </c>
      <c r="I87" s="48" t="s">
        <v>105</v>
      </c>
      <c r="J87" s="48"/>
      <c r="K87" s="48"/>
      <c r="L87" s="48"/>
      <c r="M87" s="48"/>
      <c r="N87" s="48"/>
      <c r="O87" s="48"/>
      <c r="P87" s="48"/>
    </row>
    <row r="88" spans="2:16" ht="15" customHeight="1">
      <c r="B88" s="183"/>
      <c r="C88" s="183"/>
      <c r="D88" s="183"/>
      <c r="E88" s="183"/>
      <c r="F88" s="48" t="s">
        <v>176</v>
      </c>
      <c r="G88" s="48" t="s">
        <v>109</v>
      </c>
      <c r="H88" s="48" t="s">
        <v>109</v>
      </c>
      <c r="I88" s="48" t="s">
        <v>91</v>
      </c>
      <c r="J88" s="48"/>
      <c r="K88" s="48"/>
      <c r="L88" s="48"/>
      <c r="M88" s="48"/>
      <c r="N88" s="48"/>
      <c r="O88" s="48"/>
      <c r="P88" s="48"/>
    </row>
    <row r="89" spans="2:16" ht="15" customHeight="1">
      <c r="B89" s="183"/>
      <c r="C89" s="183"/>
      <c r="D89" s="183"/>
      <c r="E89" s="183"/>
      <c r="F89" s="48" t="s">
        <v>177</v>
      </c>
      <c r="G89" s="48" t="s">
        <v>95</v>
      </c>
      <c r="H89" s="48" t="s">
        <v>95</v>
      </c>
      <c r="I89" s="48" t="s">
        <v>91</v>
      </c>
      <c r="J89" s="48"/>
      <c r="K89" s="48"/>
      <c r="L89" s="48"/>
      <c r="M89" s="48"/>
      <c r="N89" s="48"/>
      <c r="O89" s="48"/>
      <c r="P89" s="48"/>
    </row>
    <row r="90" spans="2:16" ht="15" customHeight="1">
      <c r="B90" s="183"/>
      <c r="C90" s="183"/>
      <c r="D90" s="183"/>
      <c r="E90" s="183"/>
      <c r="F90" s="48" t="s">
        <v>178</v>
      </c>
      <c r="G90" s="48" t="s">
        <v>106</v>
      </c>
      <c r="H90" s="48" t="s">
        <v>106</v>
      </c>
      <c r="I90" s="48" t="s">
        <v>91</v>
      </c>
      <c r="J90" s="48"/>
      <c r="K90" s="48"/>
      <c r="L90" s="48"/>
      <c r="M90" s="48"/>
      <c r="N90" s="48"/>
      <c r="O90" s="48"/>
      <c r="P90" s="48"/>
    </row>
  </sheetData>
  <mergeCells count="17">
    <mergeCell ref="B60:B73"/>
    <mergeCell ref="B74:B90"/>
    <mergeCell ref="B4:B44"/>
    <mergeCell ref="A1:Q1"/>
    <mergeCell ref="C74:C90"/>
    <mergeCell ref="D74:D90"/>
    <mergeCell ref="E74:E90"/>
    <mergeCell ref="C4:C44"/>
    <mergeCell ref="D4:D44"/>
    <mergeCell ref="E4:E44"/>
    <mergeCell ref="C45:C59"/>
    <mergeCell ref="D45:D59"/>
    <mergeCell ref="E45:E59"/>
    <mergeCell ref="C60:C73"/>
    <mergeCell ref="D60:D73"/>
    <mergeCell ref="E60:E73"/>
    <mergeCell ref="B45:B59"/>
  </mergeCells>
  <phoneticPr fontId="1"/>
  <pageMargins left="0.23622047244094491" right="0.23622047244094491" top="0.31496062992125984" bottom="0.27559055118110237" header="0.35433070866141736" footer="0.15748031496062992"/>
  <pageSetup paperSize="9" scale="44" orientation="landscape" horizontalDpi="4294967293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C9D3-C3A4-4356-BD24-BB362C6262D4}">
  <sheetPr codeName="Sheet10"/>
  <dimension ref="A1:BI29"/>
  <sheetViews>
    <sheetView showGridLines="0" view="pageBreakPreview" zoomScaleNormal="100" zoomScaleSheetLayoutView="100" workbookViewId="0">
      <selection sqref="A1:BI1"/>
    </sheetView>
  </sheetViews>
  <sheetFormatPr defaultColWidth="2.5" defaultRowHeight="15" customHeight="1"/>
  <cols>
    <col min="1" max="16384" width="2.5" style="1"/>
  </cols>
  <sheetData>
    <row r="1" spans="1:61" ht="28.5">
      <c r="A1" s="181" t="str">
        <f ca="1">RIGHT(CELL("filename",A1),LEN(CELL("filename",A1))-FIND("]",CELL("filename",A1)))</f>
        <v>ER図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</row>
    <row r="2" spans="1:61" ht="1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</row>
    <row r="3" spans="1:61" ht="1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</row>
    <row r="4" spans="1:61" s="5" customFormat="1" ht="15" customHeight="1">
      <c r="A4" s="39"/>
      <c r="B4" s="42"/>
      <c r="C4" s="42"/>
      <c r="D4" s="42"/>
      <c r="E4" s="42"/>
      <c r="F4" s="42"/>
      <c r="G4" s="42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</row>
    <row r="5" spans="1:61" ht="15" customHeight="1">
      <c r="A5" s="42"/>
      <c r="B5" s="44"/>
      <c r="C5" s="44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</row>
    <row r="6" spans="1:61" ht="15" customHeight="1">
      <c r="A6" s="42"/>
      <c r="B6" s="184"/>
      <c r="C6" s="184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40"/>
    </row>
    <row r="7" spans="1:61" ht="15" customHeight="1">
      <c r="A7" s="42"/>
      <c r="B7" s="184"/>
      <c r="C7" s="184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40"/>
    </row>
    <row r="8" spans="1:61" ht="15" customHeight="1">
      <c r="A8" s="42"/>
      <c r="B8" s="184"/>
      <c r="C8" s="184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40"/>
    </row>
    <row r="9" spans="1:61" ht="15" customHeight="1">
      <c r="A9" s="42"/>
      <c r="B9" s="184"/>
      <c r="C9" s="184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40"/>
    </row>
    <row r="10" spans="1:61" ht="15" customHeight="1">
      <c r="A10" s="42"/>
      <c r="B10" s="184"/>
      <c r="C10" s="184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40"/>
    </row>
    <row r="11" spans="1:61" ht="15" customHeight="1">
      <c r="A11" s="42"/>
      <c r="B11" s="184"/>
      <c r="C11" s="184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40"/>
    </row>
    <row r="12" spans="1:61" s="5" customFormat="1" ht="15" customHeight="1">
      <c r="A12" s="42"/>
      <c r="B12" s="184"/>
      <c r="C12" s="184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43"/>
      <c r="BI12" s="1"/>
    </row>
    <row r="13" spans="1:61" ht="15" customHeight="1">
      <c r="A13" s="40"/>
      <c r="B13" s="184"/>
      <c r="C13" s="184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40"/>
    </row>
    <row r="14" spans="1:61" ht="15" customHeight="1">
      <c r="A14" s="40"/>
      <c r="B14" s="184"/>
      <c r="C14" s="184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40"/>
    </row>
    <row r="15" spans="1:61" ht="15" customHeight="1">
      <c r="A15" s="40"/>
      <c r="B15" s="184"/>
      <c r="C15" s="184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40"/>
    </row>
    <row r="16" spans="1:61" ht="15" customHeight="1">
      <c r="A16" s="40"/>
      <c r="B16" s="40"/>
      <c r="C16" s="40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0"/>
    </row>
    <row r="17" spans="1:52" ht="15" customHeight="1">
      <c r="A17" s="39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5" customHeight="1">
      <c r="A18" s="39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</row>
    <row r="19" spans="1:52" ht="15" customHeight="1">
      <c r="A19" s="40"/>
      <c r="B19" s="184"/>
      <c r="C19" s="184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40"/>
    </row>
    <row r="20" spans="1:52" ht="15" customHeight="1">
      <c r="A20" s="40"/>
      <c r="B20" s="184"/>
      <c r="C20" s="184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40"/>
    </row>
    <row r="21" spans="1:52" ht="15" customHeight="1">
      <c r="A21" s="40"/>
      <c r="B21" s="184"/>
      <c r="C21" s="184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40"/>
    </row>
    <row r="22" spans="1:52" ht="15" customHeight="1">
      <c r="A22" s="42"/>
      <c r="B22" s="184"/>
      <c r="C22" s="184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40"/>
    </row>
    <row r="23" spans="1:52" ht="15" customHeight="1">
      <c r="A23" s="42"/>
      <c r="B23" s="184"/>
      <c r="C23" s="184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40"/>
    </row>
    <row r="24" spans="1:52" ht="15" customHeight="1">
      <c r="A24" s="42"/>
      <c r="B24" s="184"/>
      <c r="C24" s="184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40"/>
    </row>
    <row r="25" spans="1:52" ht="15" customHeight="1">
      <c r="A25" s="42"/>
      <c r="B25" s="184"/>
      <c r="C25" s="184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40"/>
    </row>
    <row r="26" spans="1:52" ht="15" customHeight="1">
      <c r="A26" s="42"/>
      <c r="B26" s="184"/>
      <c r="C26" s="184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40"/>
    </row>
    <row r="27" spans="1:52" ht="15" customHeight="1">
      <c r="A27" s="42"/>
      <c r="B27" s="184"/>
      <c r="C27" s="184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40"/>
    </row>
    <row r="28" spans="1:52" ht="15" customHeight="1">
      <c r="A28" s="42"/>
      <c r="B28" s="184"/>
      <c r="C28" s="184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40"/>
    </row>
    <row r="29" spans="1:52" ht="1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</row>
  </sheetData>
  <mergeCells count="81">
    <mergeCell ref="B28:C28"/>
    <mergeCell ref="D28:S28"/>
    <mergeCell ref="T28:AM28"/>
    <mergeCell ref="AN28:AY28"/>
    <mergeCell ref="B26:C26"/>
    <mergeCell ref="D26:S26"/>
    <mergeCell ref="T26:AM26"/>
    <mergeCell ref="AN26:AY26"/>
    <mergeCell ref="B27:C27"/>
    <mergeCell ref="D27:S27"/>
    <mergeCell ref="T27:AM27"/>
    <mergeCell ref="AN27:AY27"/>
    <mergeCell ref="B24:C24"/>
    <mergeCell ref="D24:S24"/>
    <mergeCell ref="T24:AM24"/>
    <mergeCell ref="AN24:AY24"/>
    <mergeCell ref="B25:C25"/>
    <mergeCell ref="D25:S25"/>
    <mergeCell ref="T25:AM25"/>
    <mergeCell ref="AN25:AY25"/>
    <mergeCell ref="B22:C22"/>
    <mergeCell ref="D22:S22"/>
    <mergeCell ref="T22:AM22"/>
    <mergeCell ref="AN22:AY22"/>
    <mergeCell ref="B23:C23"/>
    <mergeCell ref="D23:S23"/>
    <mergeCell ref="T23:AM23"/>
    <mergeCell ref="AN23:AY23"/>
    <mergeCell ref="B20:C20"/>
    <mergeCell ref="D20:S20"/>
    <mergeCell ref="T20:AM20"/>
    <mergeCell ref="AN20:AY20"/>
    <mergeCell ref="B21:C21"/>
    <mergeCell ref="D21:S21"/>
    <mergeCell ref="T21:AM21"/>
    <mergeCell ref="AN21:AY21"/>
    <mergeCell ref="B15:C15"/>
    <mergeCell ref="D15:S15"/>
    <mergeCell ref="T15:AM15"/>
    <mergeCell ref="AN15:AY15"/>
    <mergeCell ref="B19:C19"/>
    <mergeCell ref="D19:S19"/>
    <mergeCell ref="T19:AM19"/>
    <mergeCell ref="AN19:AY19"/>
    <mergeCell ref="B13:C13"/>
    <mergeCell ref="D13:S13"/>
    <mergeCell ref="T13:AM13"/>
    <mergeCell ref="AN13:AY13"/>
    <mergeCell ref="B14:C14"/>
    <mergeCell ref="D14:S14"/>
    <mergeCell ref="T14:AM14"/>
    <mergeCell ref="AN14:AY14"/>
    <mergeCell ref="B11:C11"/>
    <mergeCell ref="D11:S11"/>
    <mergeCell ref="T11:AM11"/>
    <mergeCell ref="AN11:AY11"/>
    <mergeCell ref="B12:C12"/>
    <mergeCell ref="D12:S12"/>
    <mergeCell ref="T12:AM12"/>
    <mergeCell ref="AN12:AY12"/>
    <mergeCell ref="B9:C9"/>
    <mergeCell ref="D9:S9"/>
    <mergeCell ref="T9:AM9"/>
    <mergeCell ref="AN9:AY9"/>
    <mergeCell ref="B10:C10"/>
    <mergeCell ref="D10:S10"/>
    <mergeCell ref="T10:AM10"/>
    <mergeCell ref="AN10:AY10"/>
    <mergeCell ref="B7:C7"/>
    <mergeCell ref="D7:S7"/>
    <mergeCell ref="T7:AM7"/>
    <mergeCell ref="AN7:AY7"/>
    <mergeCell ref="B8:C8"/>
    <mergeCell ref="D8:S8"/>
    <mergeCell ref="T8:AM8"/>
    <mergeCell ref="AN8:AY8"/>
    <mergeCell ref="A1:BI1"/>
    <mergeCell ref="B6:C6"/>
    <mergeCell ref="D6:S6"/>
    <mergeCell ref="T6:AM6"/>
    <mergeCell ref="AN6:AY6"/>
  </mergeCells>
  <phoneticPr fontId="1"/>
  <pageMargins left="0.23622047244094491" right="0.23622047244094491" top="0.31496062992125984" bottom="0.27559055118110237" header="0.35433070866141736" footer="0.15748031496062992"/>
  <pageSetup paperSize="9" scale="73" orientation="landscape" horizont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BE35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2" ht="28.5">
      <c r="A1" s="139" t="str">
        <f ca="1">RIGHT(CELL("filename",A1),LEN(CELL("filename",A1))-FIND("]",CELL("filename",A1)))</f>
        <v>ログ出力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</row>
    <row r="2" spans="1:52" ht="15" customHeight="1">
      <c r="A2" s="2"/>
      <c r="B2" s="2"/>
      <c r="C2" s="2"/>
      <c r="D2" s="2"/>
      <c r="E2" s="2"/>
      <c r="F2" s="2"/>
      <c r="G2" s="2"/>
      <c r="H2" s="2"/>
    </row>
    <row r="3" spans="1:52" ht="19.5">
      <c r="A3" s="3" t="s">
        <v>42</v>
      </c>
    </row>
    <row r="4" spans="1:52" ht="15" customHeight="1">
      <c r="A4" s="2"/>
      <c r="B4" s="2"/>
      <c r="C4" s="2"/>
      <c r="D4" s="2"/>
      <c r="E4" s="2"/>
      <c r="F4" s="2"/>
      <c r="G4" s="2"/>
      <c r="H4" s="2"/>
    </row>
    <row r="5" spans="1:52" ht="15" customHeight="1">
      <c r="A5" s="2"/>
      <c r="B5" s="175" t="s">
        <v>37</v>
      </c>
      <c r="C5" s="175"/>
      <c r="D5" s="176" t="s">
        <v>43</v>
      </c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 t="s">
        <v>44</v>
      </c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 t="s">
        <v>66</v>
      </c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</row>
    <row r="6" spans="1:52" ht="15" customHeight="1">
      <c r="A6" s="2"/>
      <c r="B6" s="154">
        <v>1</v>
      </c>
      <c r="C6" s="154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11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3"/>
      <c r="AN6" s="11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3"/>
    </row>
    <row r="7" spans="1:52" ht="15" customHeight="1">
      <c r="A7" s="2"/>
      <c r="B7" s="154">
        <v>2</v>
      </c>
      <c r="C7" s="154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1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3"/>
      <c r="AN7" s="11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3"/>
    </row>
    <row r="8" spans="1:52" ht="15" customHeight="1">
      <c r="A8" s="2"/>
      <c r="B8" s="154">
        <v>3</v>
      </c>
      <c r="C8" s="154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  <c r="T8" s="11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3"/>
      <c r="AN8" s="11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3"/>
    </row>
    <row r="9" spans="1:52" ht="15" customHeight="1">
      <c r="A9" s="2"/>
    </row>
    <row r="10" spans="1:52" ht="15" customHeight="1">
      <c r="A10" s="3" t="s">
        <v>47</v>
      </c>
    </row>
    <row r="11" spans="1:52" ht="15" customHeight="1">
      <c r="A11" s="2"/>
      <c r="B11" s="2"/>
      <c r="C11" s="2"/>
      <c r="D11" s="2"/>
      <c r="E11" s="2"/>
      <c r="F11" s="2"/>
      <c r="G11" s="2"/>
      <c r="H11" s="2"/>
    </row>
    <row r="12" spans="1:52" ht="15" customHeight="1">
      <c r="A12" s="2"/>
      <c r="B12" s="175" t="s">
        <v>37</v>
      </c>
      <c r="C12" s="175"/>
      <c r="D12" s="176" t="s">
        <v>45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 t="s">
        <v>46</v>
      </c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 t="s">
        <v>3</v>
      </c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</row>
    <row r="13" spans="1:52" ht="15" customHeight="1">
      <c r="A13" s="2"/>
      <c r="B13" s="154">
        <v>1</v>
      </c>
      <c r="C13" s="154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11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3"/>
      <c r="AN13" s="11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3"/>
    </row>
    <row r="14" spans="1:52" ht="15" customHeight="1">
      <c r="A14" s="2"/>
      <c r="B14" s="154">
        <v>2</v>
      </c>
      <c r="C14" s="154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  <c r="T14" s="11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3"/>
      <c r="AN14" s="11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3"/>
    </row>
    <row r="15" spans="1:52" ht="15" customHeight="1">
      <c r="A15" s="2"/>
      <c r="B15" s="154">
        <v>3</v>
      </c>
      <c r="C15" s="154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11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3"/>
      <c r="AN15" s="11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3"/>
    </row>
    <row r="16" spans="1:52" ht="15" customHeight="1">
      <c r="A16" s="2"/>
      <c r="B16" s="154">
        <v>4</v>
      </c>
      <c r="C16" s="154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1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3"/>
      <c r="AN16" s="11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3"/>
    </row>
    <row r="17" spans="1:57" ht="15" customHeight="1">
      <c r="A17" s="2"/>
      <c r="B17" s="154">
        <v>5</v>
      </c>
      <c r="C17" s="154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11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3"/>
      <c r="AN17" s="11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3"/>
    </row>
    <row r="18" spans="1:57" ht="15" customHeight="1">
      <c r="A18" s="2"/>
      <c r="B18" s="154">
        <v>6</v>
      </c>
      <c r="C18" s="154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  <c r="T18" s="11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3"/>
      <c r="AN18" s="11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3"/>
    </row>
    <row r="19" spans="1:57" ht="15" customHeight="1">
      <c r="A19" s="2"/>
      <c r="B19" s="154">
        <v>7</v>
      </c>
      <c r="C19" s="154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  <c r="T19" s="11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3"/>
      <c r="AN19" s="11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3"/>
    </row>
    <row r="20" spans="1:57" ht="15" customHeight="1">
      <c r="A20" s="2"/>
      <c r="B20" s="154">
        <v>8</v>
      </c>
      <c r="C20" s="154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11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3"/>
      <c r="AN20" s="11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3"/>
    </row>
    <row r="21" spans="1:57" ht="15" customHeight="1">
      <c r="A21" s="2"/>
    </row>
    <row r="22" spans="1:57" ht="15" customHeight="1">
      <c r="A22" s="2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5" customHeight="1">
      <c r="A23" s="2"/>
    </row>
    <row r="24" spans="1:57" ht="15" customHeight="1">
      <c r="A24" s="2"/>
    </row>
    <row r="25" spans="1:57" ht="15" customHeight="1">
      <c r="A25" s="2"/>
      <c r="B25" s="2"/>
      <c r="C25" s="2"/>
      <c r="D25" s="2"/>
      <c r="E25" s="2"/>
      <c r="F25" s="2"/>
      <c r="G25" s="2"/>
      <c r="H25" s="2"/>
    </row>
    <row r="26" spans="1:57" ht="15" customHeight="1">
      <c r="A26" s="2"/>
      <c r="E26" s="2"/>
      <c r="F26" s="2"/>
      <c r="G26" s="2"/>
      <c r="H26" s="2"/>
    </row>
    <row r="27" spans="1:57" ht="15" customHeight="1">
      <c r="A27" s="2"/>
      <c r="E27" s="2"/>
      <c r="F27" s="2"/>
      <c r="G27" s="2"/>
      <c r="H27" s="2"/>
    </row>
    <row r="28" spans="1:57" ht="15" customHeight="1">
      <c r="A28" s="2"/>
      <c r="E28" s="2"/>
      <c r="F28" s="2"/>
      <c r="G28" s="2"/>
      <c r="H28" s="2"/>
    </row>
    <row r="29" spans="1:57" ht="15" customHeight="1">
      <c r="A29" s="2"/>
      <c r="E29" s="2"/>
      <c r="F29" s="2"/>
      <c r="G29" s="2"/>
      <c r="H29" s="2"/>
    </row>
    <row r="30" spans="1:57" s="5" customFormat="1" ht="15" customHeight="1">
      <c r="A30" s="2"/>
      <c r="B30" s="2"/>
      <c r="C30" s="2"/>
      <c r="D30" s="2"/>
      <c r="E30" s="2"/>
      <c r="F30" s="2"/>
      <c r="G30" s="2"/>
      <c r="H30" s="2"/>
    </row>
    <row r="31" spans="1:57" ht="15" customHeight="1">
      <c r="A31" s="2"/>
      <c r="B31" s="2"/>
      <c r="C31" s="2"/>
      <c r="D31" s="2"/>
      <c r="E31" s="2"/>
      <c r="F31" s="2"/>
      <c r="G31" s="2"/>
      <c r="H31" s="2"/>
    </row>
    <row r="32" spans="1:57" ht="15" customHeight="1">
      <c r="A32" s="2"/>
      <c r="B32" s="2"/>
      <c r="C32" s="2"/>
      <c r="D32" s="2"/>
      <c r="E32" s="2"/>
      <c r="F32" s="2"/>
      <c r="G32" s="2"/>
      <c r="H32" s="2"/>
    </row>
    <row r="33" spans="1:8" ht="15" customHeight="1">
      <c r="A33" s="2"/>
      <c r="B33" s="2"/>
      <c r="C33" s="2"/>
      <c r="D33" s="2"/>
      <c r="E33" s="2"/>
      <c r="F33" s="2"/>
      <c r="G33" s="2"/>
      <c r="H33" s="2"/>
    </row>
    <row r="34" spans="1:8" ht="15" customHeight="1">
      <c r="A34" s="2"/>
      <c r="B34" s="2"/>
      <c r="C34" s="2"/>
      <c r="D34" s="2"/>
      <c r="E34" s="2"/>
      <c r="F34" s="2"/>
      <c r="G34" s="2"/>
      <c r="H34" s="2"/>
    </row>
    <row r="35" spans="1:8" ht="15" customHeight="1">
      <c r="A35" s="2"/>
      <c r="B35" s="2"/>
      <c r="C35" s="2"/>
      <c r="D35" s="2"/>
      <c r="E35" s="2"/>
      <c r="F35" s="2"/>
      <c r="G35" s="2"/>
      <c r="H35" s="2"/>
    </row>
  </sheetData>
  <mergeCells count="20">
    <mergeCell ref="B19:C19"/>
    <mergeCell ref="B20:C20"/>
    <mergeCell ref="B12:C12"/>
    <mergeCell ref="D12:S12"/>
    <mergeCell ref="T12:AM12"/>
    <mergeCell ref="B18:C18"/>
    <mergeCell ref="B16:C16"/>
    <mergeCell ref="B17:C17"/>
    <mergeCell ref="B14:C14"/>
    <mergeCell ref="B15:C15"/>
    <mergeCell ref="AN12:AY12"/>
    <mergeCell ref="B13:C13"/>
    <mergeCell ref="B8:C8"/>
    <mergeCell ref="B6:C6"/>
    <mergeCell ref="B7:C7"/>
    <mergeCell ref="B5:C5"/>
    <mergeCell ref="D5:S5"/>
    <mergeCell ref="T5:AM5"/>
    <mergeCell ref="AN5:AY5"/>
    <mergeCell ref="A1:AZ1"/>
  </mergeCells>
  <phoneticPr fontId="1"/>
  <pageMargins left="0.23622047244094491" right="0.23622047244094491" top="0.31496062992125984" bottom="0.27559055118110237" header="0.35433070866141736" footer="0.15748031496062992"/>
  <pageSetup paperSize="9" scale="89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BB70"/>
  <sheetViews>
    <sheetView showGridLines="0" view="pageBreakPreview" zoomScaleNormal="100" zoomScaleSheetLayoutView="100" workbookViewId="0">
      <selection sqref="A1:BB1"/>
    </sheetView>
  </sheetViews>
  <sheetFormatPr defaultColWidth="2.5" defaultRowHeight="15"/>
  <cols>
    <col min="1" max="16384" width="2.5" style="1"/>
  </cols>
  <sheetData>
    <row r="1" spans="1:54" ht="28.5">
      <c r="A1" s="136" t="str">
        <f ca="1">RIGHT(CELL("filename",A1),LEN(CELL("filename",A1))-FIND("]",CELL("filename",A1)))</f>
        <v>操作手順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</row>
    <row r="2" spans="1:54" s="5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9.5">
      <c r="A3" s="55" t="s">
        <v>342</v>
      </c>
      <c r="B3" s="5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s="5" customFormat="1">
      <c r="B4" s="1">
        <v>1</v>
      </c>
      <c r="C4" s="1" t="s">
        <v>356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s="5" customFormat="1">
      <c r="B5" s="1"/>
      <c r="C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s="5" customFormat="1">
      <c r="B6" s="1">
        <v>2</v>
      </c>
      <c r="C6" s="1" t="s">
        <v>340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s="5" customFormat="1">
      <c r="B7" s="1"/>
      <c r="C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>
      <c r="B8" s="1">
        <v>3</v>
      </c>
      <c r="C8" s="1" t="s">
        <v>357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A25" s="2"/>
      <c r="B25" s="107">
        <v>4</v>
      </c>
      <c r="C25" s="2" t="s">
        <v>341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A33" s="2"/>
      <c r="B33" s="107">
        <v>5</v>
      </c>
      <c r="C33" s="2" t="s">
        <v>350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62" spans="3:3">
      <c r="C62" s="2"/>
    </row>
    <row r="68" spans="1:54" s="5" customForma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</sheetData>
  <mergeCells count="1">
    <mergeCell ref="A1:BB1"/>
  </mergeCells>
  <phoneticPr fontId="1"/>
  <pageMargins left="0.23622047244094491" right="0.23622047244094491" top="0.31496062992125984" bottom="0.27559055118110237" header="0.35433070866141736" footer="0.15748031496062992"/>
  <pageSetup paperSize="9" scale="93" orientation="landscape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dc684f-a366-415b-b41a-e3d7f83ff7b8" xsi:nil="true"/>
    <lcf76f155ced4ddcb4097134ff3c332f xmlns="7bff4b3f-120a-41ba-99fa-f57a066d3b3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B96E56554121B4081BE6E4043D89AE8" ma:contentTypeVersion="15" ma:contentTypeDescription="新しいドキュメントを作成します。" ma:contentTypeScope="" ma:versionID="92fc502c4dc67067415fb3b6727815dc">
  <xsd:schema xmlns:xsd="http://www.w3.org/2001/XMLSchema" xmlns:xs="http://www.w3.org/2001/XMLSchema" xmlns:p="http://schemas.microsoft.com/office/2006/metadata/properties" xmlns:ns2="7bff4b3f-120a-41ba-99fa-f57a066d3b36" xmlns:ns3="2adc684f-a366-415b-b41a-e3d7f83ff7b8" targetNamespace="http://schemas.microsoft.com/office/2006/metadata/properties" ma:root="true" ma:fieldsID="517db196b072439dc0a3bd398bdebd94" ns2:_="" ns3:_="">
    <xsd:import namespace="7bff4b3f-120a-41ba-99fa-f57a066d3b36"/>
    <xsd:import namespace="2adc684f-a366-415b-b41a-e3d7f83ff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f4b3f-120a-41ba-99fa-f57a066d3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a3a9e2b4-bd26-462e-b1d1-efb57a716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c684f-a366-415b-b41a-e3d7f83ff7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4869b3-d986-4edd-a351-9554c732dfbc}" ma:internalName="TaxCatchAll" ma:showField="CatchAllData" ma:web="2adc684f-a366-415b-b41a-e3d7f83ff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C51AD-1552-458D-B8E5-1F8489691FB2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308e505c-c3d5-44ce-8372-14ebe6508eb1"/>
    <ds:schemaRef ds:uri="480dd861-27d2-4c2f-8e0e-8be91c5418ad"/>
    <ds:schemaRef ds:uri="http://purl.org/dc/dcmitype/"/>
    <ds:schemaRef ds:uri="2adc684f-a366-415b-b41a-e3d7f83ff7b8"/>
    <ds:schemaRef ds:uri="7bff4b3f-120a-41ba-99fa-f57a066d3b36"/>
  </ds:schemaRefs>
</ds:datastoreItem>
</file>

<file path=customXml/itemProps2.xml><?xml version="1.0" encoding="utf-8"?>
<ds:datastoreItem xmlns:ds="http://schemas.openxmlformats.org/officeDocument/2006/customXml" ds:itemID="{DC08B406-C95B-43EE-B59F-C60B9110C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ff4b3f-120a-41ba-99fa-f57a066d3b36"/>
    <ds:schemaRef ds:uri="2adc684f-a366-415b-b41a-e3d7f83ff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8F97C9-23F5-4F0D-81FF-1906E3BCEB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25</vt:i4>
      </vt:variant>
    </vt:vector>
  </HeadingPairs>
  <TitlesOfParts>
    <vt:vector size="39" baseType="lpstr">
      <vt:lpstr>改訂履歴</vt:lpstr>
      <vt:lpstr>背景・目的</vt:lpstr>
      <vt:lpstr>ツール概要</vt:lpstr>
      <vt:lpstr>業務概要</vt:lpstr>
      <vt:lpstr>入出力仕様</vt:lpstr>
      <vt:lpstr>画面定義</vt:lpstr>
      <vt:lpstr>処理フロー図</vt:lpstr>
      <vt:lpstr>帳票定義</vt:lpstr>
      <vt:lpstr>メッセージ一覧</vt:lpstr>
      <vt:lpstr>データフロー図</vt:lpstr>
      <vt:lpstr>テーブル定義</vt:lpstr>
      <vt:lpstr>ER図</vt:lpstr>
      <vt:lpstr>ログ出力</vt:lpstr>
      <vt:lpstr>操作手順</vt:lpstr>
      <vt:lpstr>ER図!Print_Area</vt:lpstr>
      <vt:lpstr>ツール概要!Print_Area</vt:lpstr>
      <vt:lpstr>データフロー図!Print_Area</vt:lpstr>
      <vt:lpstr>テーブル定義!Print_Area</vt:lpstr>
      <vt:lpstr>メッセージ一覧!Print_Area</vt:lpstr>
      <vt:lpstr>ログ出力!Print_Area</vt:lpstr>
      <vt:lpstr>画面定義!Print_Area</vt:lpstr>
      <vt:lpstr>改訂履歴!Print_Area</vt:lpstr>
      <vt:lpstr>処理フロー図!Print_Area</vt:lpstr>
      <vt:lpstr>操作手順!Print_Area</vt:lpstr>
      <vt:lpstr>帳票定義!Print_Area</vt:lpstr>
      <vt:lpstr>入出力仕様!Print_Area</vt:lpstr>
      <vt:lpstr>背景・目的!Print_Area</vt:lpstr>
      <vt:lpstr>ツール概要</vt:lpstr>
      <vt:lpstr>テーブル定義</vt:lpstr>
      <vt:lpstr>ER図!メッセージ一覧</vt:lpstr>
      <vt:lpstr>メッセージ一覧</vt:lpstr>
      <vt:lpstr>ログ出力</vt:lpstr>
      <vt:lpstr>画面定義</vt:lpstr>
      <vt:lpstr>業務概要</vt:lpstr>
      <vt:lpstr>処理フロー図</vt:lpstr>
      <vt:lpstr>操作手順</vt:lpstr>
      <vt:lpstr>帳票定義</vt:lpstr>
      <vt:lpstr>入出力仕様</vt:lpstr>
      <vt:lpstr>背景・目的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髙橋 咲樹</cp:lastModifiedBy>
  <cp:lastPrinted>2021-01-05T06:32:05Z</cp:lastPrinted>
  <dcterms:created xsi:type="dcterms:W3CDTF">1997-06-17T10:35:10Z</dcterms:created>
  <dcterms:modified xsi:type="dcterms:W3CDTF">2026-05-13T03:32:40Z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0x0101009B96E56554121B4081BE6E4043D89AE8</vt:lpwstr>
  </property>
  <property fmtid="{D5CDD505-2E9C-101B-9397-08002B2CF9AE}" pid="3" name="MediaServiceImageTags">
    <vt:lpwstr/>
  </property>
</Properties>
</file>