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corou.sharepoint.com/sites/mtccasemanagement2023/Shared Documents/■フォルダテンプレート■/GitHub-RepositoryTemplate/doc/"/>
    </mc:Choice>
  </mc:AlternateContent>
  <xr:revisionPtr revIDLastSave="21" documentId="13_ncr:1_{9C30C000-BB95-489B-9345-E0DC3E52016F}" xr6:coauthVersionLast="47" xr6:coauthVersionMax="47" xr10:uidLastSave="{ECD8B183-9D3A-4CDF-9A0D-B250E84426E3}"/>
  <bookViews>
    <workbookView xWindow="-120" yWindow="-120" windowWidth="29040" windowHeight="15720" tabRatio="888" activeTab="2" xr2:uid="{00000000-000D-0000-FFFF-FFFF00000000}"/>
  </bookViews>
  <sheets>
    <sheet name="改訂履歴" sheetId="179" r:id="rId1"/>
    <sheet name="背景・目的" sheetId="190" r:id="rId2"/>
    <sheet name="ツール概要" sheetId="180" r:id="rId3"/>
    <sheet name="業務概要" sheetId="169" r:id="rId4"/>
    <sheet name="入出力仕様" sheetId="181" r:id="rId5"/>
    <sheet name="画面定義" sheetId="174" r:id="rId6"/>
    <sheet name="処理フロー図" sheetId="185" r:id="rId7"/>
    <sheet name="帳票定義" sheetId="186" r:id="rId8"/>
    <sheet name="メッセージ一覧" sheetId="187" r:id="rId9"/>
    <sheet name="データフロー図" sheetId="193" r:id="rId10"/>
    <sheet name="テーブル定義" sheetId="188" r:id="rId11"/>
    <sheet name="ER図" sheetId="192" r:id="rId12"/>
    <sheet name="ログ出力" sheetId="184" r:id="rId13"/>
    <sheet name="操作手順" sheetId="189" r:id="rId14"/>
  </sheets>
  <definedNames>
    <definedName name="_xlnm.Print_Area" localSheetId="11">ER図!$A$1:$BI$54</definedName>
    <definedName name="_xlnm.Print_Area" localSheetId="2">ツール概要!$A$1:$AZ$59</definedName>
    <definedName name="_xlnm.Print_Area" localSheetId="9">データフロー図!$A$1:$BL$31</definedName>
    <definedName name="_xlnm.Print_Area" localSheetId="10">テーブル定義!$A$1:$Q$91</definedName>
    <definedName name="_xlnm.Print_Area" localSheetId="8">メッセージ一覧!$A$1:$AZ$28</definedName>
    <definedName name="_xlnm.Print_Area" localSheetId="12">ログ出力!$A$1:$AZ$21</definedName>
    <definedName name="_xlnm.Print_Area" localSheetId="5">画面定義!$A$1:$AZ$33</definedName>
    <definedName name="_xlnm.Print_Area" localSheetId="0">改訂履歴!$A$1:$AZ$34</definedName>
    <definedName name="_xlnm.Print_Area" localSheetId="6">処理フロー図!$A$1:$BA$155</definedName>
    <definedName name="_xlnm.Print_Area" localSheetId="13">操作手順!$A$1:$BB$34</definedName>
    <definedName name="_xlnm.Print_Area" localSheetId="7">帳票定義!$A$1:$AZ$34</definedName>
    <definedName name="_xlnm.Print_Area" localSheetId="4">入出力仕様!$A$1:$BJ$59</definedName>
    <definedName name="_xlnm.Print_Area" localSheetId="1">背景・目的!$A$1:$AZ$25</definedName>
    <definedName name="ツール概要">ツール概要!$A$1</definedName>
    <definedName name="テーブル定義">テーブル定義!$A$1</definedName>
    <definedName name="メッセージ一覧" localSheetId="11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>業務概要!$A$1</definedName>
    <definedName name="処理フロー図">処理フロー図!$A$1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79" l="1" a="1"/>
  <c r="A4" i="179" s="1"/>
  <c r="A1" i="186" l="1"/>
  <c r="AT3" i="179"/>
  <c r="AT4" i="179"/>
  <c r="AT5" i="179"/>
  <c r="AT6" i="179"/>
  <c r="AT7" i="179"/>
  <c r="AT8" i="179"/>
  <c r="AT9" i="179"/>
  <c r="AT10" i="179"/>
  <c r="AT11" i="179"/>
  <c r="AT12" i="179"/>
  <c r="AT13" i="179"/>
  <c r="AT14" i="179"/>
  <c r="AT2" i="179"/>
  <c r="A1" i="193"/>
  <c r="A1" i="192" l="1"/>
  <c r="A19" i="179" l="1"/>
  <c r="F18" i="179"/>
  <c r="A16" i="179" l="1"/>
  <c r="A1" i="190" l="1"/>
  <c r="A1" i="189" l="1"/>
  <c r="A1" i="188"/>
  <c r="A1" i="187"/>
  <c r="A1" i="185" l="1"/>
  <c r="A1" i="184"/>
  <c r="A1" i="174"/>
  <c r="A1" i="181"/>
  <c r="A1" i="169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<sst xmlns="http://schemas.openxmlformats.org/spreadsheetml/2006/main" count="750" uniqueCount="382">
  <si>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</si>
  <si>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</si>
  <si>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</si>
  <si>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</si>
  <si>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</si>
  <si>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</si>
  <si>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案件NO</t>
    <rPh sb="0" eb="2">
      <t>アンケン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</si>
  <si>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</si>
  <si>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</si>
  <si>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備考</t>
    <rPh sb="0" eb="2">
      <t>ビコウ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</si>
  <si>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</si>
  <si>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</si>
  <si>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</si>
  <si>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</si>
  <si>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</si>
  <si>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パートナー情報マスタシート</t>
    <rPh sb="5" eb="7">
      <t>ジョウホウ</t>
    </rPh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</si>
  <si>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</si>
  <si>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</si>
  <si>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</si>
  <si>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</si>
  <si>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</si>
  <si>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</si>
  <si>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</si>
  <si>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</si>
  <si>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</si>
  <si>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</si>
  <si>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</si>
  <si>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２．ツール概要</t>
    <rPh sb="5" eb="7">
      <t>ガイヨウ</t>
    </rPh>
    <phoneticPr fontId="1"/>
  </si>
  <si>
    <t>２．異常系</t>
    <rPh sb="2" eb="4">
      <t>イジョウ</t>
    </rPh>
    <rPh sb="4" eb="5">
      <t>ケイ</t>
    </rPh>
    <phoneticPr fontId="1"/>
  </si>
  <si>
    <t>３．ファイル構成</t>
    <rPh sb="6" eb="8">
      <t>コウセイ</t>
    </rPh>
    <phoneticPr fontId="1"/>
  </si>
  <si>
    <t>本ツールはP契約周りのメール配信業務に使用する。</t>
  </si>
  <si>
    <t>個別配信用又は一斉配信（BCC）用のメールテンプレートと添付ファイルを取り込み、指定された宛先やキー、パラメータ等を使用してメールを作成する。</t>
  </si>
  <si>
    <t>XXX.exe</t>
    <phoneticPr fontId="1"/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</si>
  <si>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</si>
  <si>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</si>
  <si>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 kintone登録</t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</si>
  <si>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</si>
  <si>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</si>
  <si>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</si>
  <si>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</si>
  <si>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</si>
  <si>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</si>
  <si>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</si>
  <si>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</si>
  <si>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</si>
  <si>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</si>
  <si>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</si>
  <si>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</si>
  <si>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</si>
  <si>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</si>
  <si>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</si>
  <si>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エラー内容種別</t>
    <rPh sb="3" eb="5">
      <t>ナイヨウ</t>
    </rPh>
    <rPh sb="5" eb="7">
      <t>シュベツ</t>
    </rPh>
    <phoneticPr fontId="1"/>
  </si>
  <si>
    <t>フォーマット</t>
    <phoneticPr fontId="1"/>
  </si>
  <si>
    <t>２．ログフォーマット</t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</si>
  <si>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</si>
  <si>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</si>
  <si>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</si>
  <si>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４．動作環境</t>
    <rPh sb="2" eb="4">
      <t>ドウサ</t>
    </rPh>
    <rPh sb="4" eb="6">
      <t>カンキョウ</t>
    </rPh>
    <phoneticPr fontId="1"/>
  </si>
  <si>
    <t>1.「除外する組織Ｃの設定」を押下</t>
  </si>
  <si>
    <t>2.「除外する組織Ｃ」に変更があれば更新する</t>
  </si>
  <si>
    <t>１．データ出力作業①</t>
    <phoneticPr fontId="1"/>
  </si>
  <si>
    <t>２．データ出力作業②</t>
    <phoneticPr fontId="1"/>
  </si>
  <si>
    <t>１．ツール化の背景</t>
    <rPh sb="5" eb="6">
      <t>カ</t>
    </rPh>
    <rPh sb="7" eb="9">
      <t>ハイケイ</t>
    </rPh>
    <phoneticPr fontId="1"/>
  </si>
  <si>
    <t>２．ツール利用目的</t>
    <rPh sb="5" eb="7">
      <t>リヨウ</t>
    </rPh>
    <rPh sb="7" eb="9">
      <t>モクテキ</t>
    </rPh>
    <phoneticPr fontId="1"/>
  </si>
  <si>
    <t>P契約周りのメール配信業務の負荷を下げるべく作成されたCATS</t>
    <phoneticPr fontId="1"/>
  </si>
  <si>
    <t>部会でその素晴らしさを共有した所、別Gでも類似した業務があり、同様の不をツールで解消したいとの要望が発生</t>
    <phoneticPr fontId="1"/>
  </si>
  <si>
    <t>■CATSの現行機能はそのまま、他部署でも利用できるよう機能アップする</t>
    <phoneticPr fontId="1"/>
  </si>
  <si>
    <t>■汎用的に対応可能な事前設定画面をいくつか設ける</t>
    <phoneticPr fontId="1"/>
  </si>
  <si>
    <t>■とはいえ、本ツールの利用想定はアラマネ部内のみとする</t>
    <phoneticPr fontId="1"/>
  </si>
  <si>
    <t>他、従属するファイル</t>
    <rPh sb="0" eb="1">
      <t>ホカ</t>
    </rPh>
    <rPh sb="2" eb="4">
      <t>ジュウゾク</t>
    </rPh>
    <phoneticPr fontId="1"/>
  </si>
  <si>
    <t>インプットテーブル名</t>
    <rPh sb="9" eb="10">
      <t>メイ</t>
    </rPh>
    <phoneticPr fontId="1"/>
  </si>
  <si>
    <t>データ元ファイル名</t>
    <rPh sb="3" eb="4">
      <t>モト</t>
    </rPh>
    <rPh sb="8" eb="9">
      <t>メイ</t>
    </rPh>
    <phoneticPr fontId="1"/>
  </si>
  <si>
    <t>データ元シート名</t>
    <rPh sb="3" eb="4">
      <t>モト</t>
    </rPh>
    <rPh sb="7" eb="8">
      <t>メイ</t>
    </rPh>
    <phoneticPr fontId="1"/>
  </si>
  <si>
    <t>データ元列名</t>
    <rPh sb="3" eb="4">
      <t>モト</t>
    </rPh>
    <rPh sb="4" eb="5">
      <t>レツ</t>
    </rPh>
    <rPh sb="5" eb="6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</si>
  <si>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</si>
  <si>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</si>
  <si>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</si>
  <si>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列・セル名</t>
    <rPh sb="0" eb="1">
      <t>レツ</t>
    </rPh>
    <rPh sb="4" eb="5">
      <t>メイ</t>
    </rPh>
    <phoneticPr fontId="1"/>
  </si>
  <si>
    <t>データ元テーブル名</t>
    <rPh sb="3" eb="4">
      <t>モト</t>
    </rPh>
    <rPh sb="8" eb="9">
      <t>メイ</t>
    </rPh>
    <phoneticPr fontId="1"/>
  </si>
  <si>
    <t>２． 課題一括登録処理</t>
    <rPh sb="3" eb="5">
      <t>カダイ</t>
    </rPh>
    <rPh sb="5" eb="7">
      <t>イッカツ</t>
    </rPh>
    <rPh sb="7" eb="9">
      <t>トウロク</t>
    </rPh>
    <rPh sb="9" eb="11">
      <t>ショリ</t>
    </rPh>
    <phoneticPr fontId="1"/>
  </si>
  <si>
    <t>処理①</t>
    <rPh sb="0" eb="2">
      <t>ショリ</t>
    </rPh>
    <phoneticPr fontId="1"/>
  </si>
  <si>
    <t>・ツール画面に入力された年度を「yyyy」、月を「ｍｍ」とし、下記APIをたたき</t>
    <rPh sb="4" eb="6">
      <t>ガメン</t>
    </rPh>
    <rPh sb="7" eb="9">
      <t>ニュウリョク</t>
    </rPh>
    <rPh sb="12" eb="14">
      <t>ネンド</t>
    </rPh>
    <rPh sb="22" eb="23">
      <t>ツキ</t>
    </rPh>
    <rPh sb="31" eb="33">
      <t>カキ</t>
    </rPh>
    <phoneticPr fontId="1"/>
  </si>
  <si>
    <t>　[レスポンス.出力対象月]＝[yyyymm]、[レスポンス.実行フラグ]＝[True]となる</t>
    <rPh sb="8" eb="10">
      <t>シュツリョク</t>
    </rPh>
    <rPh sb="10" eb="12">
      <t>タイショウ</t>
    </rPh>
    <rPh sb="12" eb="13">
      <t>ツキ</t>
    </rPh>
    <phoneticPr fontId="1"/>
  </si>
  <si>
    <t>　データが存在するかチェックする。存在する場合メッセージを出力し、処理を中断。</t>
    <rPh sb="5" eb="7">
      <t>ソンザイ</t>
    </rPh>
    <rPh sb="17" eb="19">
      <t>ソンザイ</t>
    </rPh>
    <rPh sb="21" eb="23">
      <t>バアイ</t>
    </rPh>
    <rPh sb="29" eb="31">
      <t>シュツリョク</t>
    </rPh>
    <rPh sb="33" eb="35">
      <t>ショリ</t>
    </rPh>
    <rPh sb="36" eb="38">
      <t>チュウダン</t>
    </rPh>
    <phoneticPr fontId="1"/>
  </si>
  <si>
    <t>＜API＞</t>
    <phoneticPr fontId="1"/>
  </si>
  <si>
    <t>メソッド：GET</t>
    <phoneticPr fontId="1"/>
  </si>
  <si>
    <t>メソッド：GET</t>
    <phoneticPr fontId="1"/>
  </si>
  <si>
    <t>※設定情報.Backlog連携履歴アプリAPIトークン利用</t>
    <rPh sb="1" eb="6">
      <t>セッテイジョウホウ。</t>
    </rPh>
    <rPh sb="13" eb="15">
      <t>レンケイ</t>
    </rPh>
    <rPh sb="15" eb="17">
      <t>リレキ</t>
    </rPh>
    <rPh sb="27" eb="29">
      <t>リヨウ</t>
    </rPh>
    <phoneticPr fontId="1"/>
  </si>
  <si>
    <t>URL：https://e0tub.cybozu.com/k/v1/records.json?app=&lt;アプリ番号&gt;</t>
    <rPh sb="55" eb="57">
      <t>バンゴウ</t>
    </rPh>
    <phoneticPr fontId="1"/>
  </si>
  <si>
    <t>パラメータ：「アプリ番号」Backlog履歴アプリID</t>
    <rPh sb="10" eb="12">
      <t>バンゴウ</t>
    </rPh>
    <phoneticPr fontId="1"/>
  </si>
  <si>
    <t>存在する</t>
    <rPh sb="0" eb="2">
      <t>ソンザイ</t>
    </rPh>
    <phoneticPr fontId="1"/>
  </si>
  <si>
    <t>（参考）https://developer.cybozu.io/hc/ja/articles/202331474#step2</t>
    <rPh sb="1" eb="3">
      <t>サンコウ</t>
    </rPh>
    <phoneticPr fontId="1"/>
  </si>
  <si>
    <t>　[レスポンス.出力対象月]＝[yyyymm]、[レスポンス.実行フラグ]＝[False]となる</t>
    <rPh sb="8" eb="10">
      <t>シュツリョク</t>
    </rPh>
    <rPh sb="10" eb="12">
      <t>タイショウ</t>
    </rPh>
    <rPh sb="12" eb="13">
      <t>ツキ</t>
    </rPh>
    <phoneticPr fontId="1"/>
  </si>
  <si>
    <t>存在しない</t>
    <rPh sb="0" eb="2">
      <t>ソンザイ</t>
    </rPh>
    <phoneticPr fontId="1"/>
  </si>
  <si>
    <t>　データが存在する場合、[Backlog連携履歴.レコードID]に[レスポンス.$id]を保持しておき</t>
    <rPh sb="5" eb="7">
      <t>ソンザイ</t>
    </rPh>
    <rPh sb="9" eb="11">
      <t>バアイ</t>
    </rPh>
    <rPh sb="45" eb="47">
      <t>ホジ</t>
    </rPh>
    <phoneticPr fontId="1"/>
  </si>
  <si>
    <t>　[Backlog連携履歴更新フラグ]をたてる。</t>
    <phoneticPr fontId="1"/>
  </si>
  <si>
    <t>処理②</t>
    <rPh sb="0" eb="2">
      <t>ショリ</t>
    </rPh>
    <phoneticPr fontId="1"/>
  </si>
  <si>
    <t>　[レスポンス.name]＝[yyyy年mm月度]となるデータが存在するかチェックする。</t>
    <rPh sb="19" eb="20">
      <t>ネン</t>
    </rPh>
    <rPh sb="22" eb="23">
      <t>ツキ</t>
    </rPh>
    <rPh sb="23" eb="24">
      <t>ド</t>
    </rPh>
    <phoneticPr fontId="1"/>
  </si>
  <si>
    <t>　存在する場合、[レスポンス.id]を保持しておく。</t>
    <rPh sb="1" eb="3">
      <t>ソンザイ</t>
    </rPh>
    <rPh sb="5" eb="7">
      <t>バアイ</t>
    </rPh>
    <rPh sb="19" eb="21">
      <t>ホジ</t>
    </rPh>
    <phoneticPr fontId="1"/>
  </si>
  <si>
    <t>　[Backlog連携履歴.カテゴリ名称]に[yyyy年mm月度]を格納する。</t>
    <rPh sb="18" eb="20">
      <t>メイショウ</t>
    </rPh>
    <rPh sb="34" eb="36">
      <t>カクノウ</t>
    </rPh>
    <phoneticPr fontId="1"/>
  </si>
  <si>
    <t>＜API＞</t>
    <phoneticPr fontId="1"/>
  </si>
  <si>
    <t>URL： https://[設定情報.Backlogドメイン]/api/v2/projects/&lt;projectIdOrKey&gt;/categories ?apiKey=&lt;APIキー&gt;</t>
    <phoneticPr fontId="1"/>
  </si>
  <si>
    <t>パラメータ：「projectIdOrKey」プロジェクトID</t>
    <phoneticPr fontId="1"/>
  </si>
  <si>
    <t>　　　　　　「APIキー」APIキー　</t>
    <phoneticPr fontId="1"/>
  </si>
  <si>
    <t>（参考）https://developer.nulab.com/ja/docs/backlog/api/2/get-category-list/#</t>
    <rPh sb="1" eb="3">
      <t>サンコウ</t>
    </rPh>
    <phoneticPr fontId="1"/>
  </si>
  <si>
    <t>処理③</t>
    <rPh sb="0" eb="2">
      <t>ショリ</t>
    </rPh>
    <phoneticPr fontId="1"/>
  </si>
  <si>
    <t>・下記の条件で、BacklogAPIをたたいてカテゴリーを追加する。</t>
    <rPh sb="1" eb="3">
      <t>カキ</t>
    </rPh>
    <rPh sb="4" eb="6">
      <t>ジョウケン</t>
    </rPh>
    <rPh sb="29" eb="31">
      <t>ツイカ</t>
    </rPh>
    <phoneticPr fontId="1"/>
  </si>
  <si>
    <t>API接続失敗</t>
    <rPh sb="3" eb="5">
      <t>セツゾク</t>
    </rPh>
    <rPh sb="5" eb="7">
      <t>シッパイ</t>
    </rPh>
    <phoneticPr fontId="1"/>
  </si>
  <si>
    <t>メソッド：POST</t>
    <phoneticPr fontId="1"/>
  </si>
  <si>
    <t>メソッド：POST</t>
    <phoneticPr fontId="1"/>
  </si>
  <si>
    <t>URL： https://[設定情報.Backlogドメイン]/api/v2/projects/&lt;projectIdOrKey&gt;/categories?apiKey=&lt;APIキー&gt;</t>
    <phoneticPr fontId="1"/>
  </si>
  <si>
    <t>　　　　　　「APIキー」APIキー　</t>
    <phoneticPr fontId="1"/>
  </si>
  <si>
    <t>ボディ：「name」[yyyy年mm月度]</t>
    <phoneticPr fontId="1"/>
  </si>
  <si>
    <t>（参考）https://developer.nulab.com/ja/docs/backlog/api/2/add-category/#</t>
    <rPh sb="1" eb="3">
      <t>サンコウ</t>
    </rPh>
    <phoneticPr fontId="1"/>
  </si>
  <si>
    <t>　[レスポンス.id]を[Backlog連携履歴.カテゴリーID]に格納する。</t>
    <rPh sb="34" eb="36">
      <t>カクノウ</t>
    </rPh>
    <phoneticPr fontId="1"/>
  </si>
  <si>
    <t>処理④</t>
    <rPh sb="0" eb="2">
      <t>ショリ</t>
    </rPh>
    <phoneticPr fontId="1"/>
  </si>
  <si>
    <t>・Kintoneアプリ「業務管理マスタ」（https://e0tub.cybozu.com/k/3243/）</t>
    <rPh sb="12" eb="14">
      <t>ギョウム</t>
    </rPh>
    <rPh sb="14" eb="16">
      <t>カンリ</t>
    </rPh>
    <phoneticPr fontId="1"/>
  </si>
  <si>
    <t>　から全レコードを取得し、「入出力シート」取込マッピング「業務管理マスタ」通りに取り込む。</t>
    <rPh sb="3" eb="4">
      <t>ゼン</t>
    </rPh>
    <rPh sb="9" eb="11">
      <t>シュトク</t>
    </rPh>
    <rPh sb="14" eb="17">
      <t>ニュウシュツリョク</t>
    </rPh>
    <rPh sb="21" eb="23">
      <t>トリコミ</t>
    </rPh>
    <rPh sb="29" eb="31">
      <t>ギョウム</t>
    </rPh>
    <rPh sb="31" eb="33">
      <t>カンリ</t>
    </rPh>
    <rPh sb="37" eb="38">
      <t>ドオ</t>
    </rPh>
    <rPh sb="40" eb="41">
      <t>ト</t>
    </rPh>
    <rPh sb="42" eb="43">
      <t>コ</t>
    </rPh>
    <phoneticPr fontId="1"/>
  </si>
  <si>
    <t>※設定情報.業務管理マスタアプリAPIトークン利用</t>
    <rPh sb="1" eb="6">
      <t>セッテイジョウホウ。</t>
    </rPh>
    <rPh sb="6" eb="8">
      <t>ギョウム</t>
    </rPh>
    <rPh sb="8" eb="10">
      <t>カンリ</t>
    </rPh>
    <rPh sb="23" eb="25">
      <t>リヨウ</t>
    </rPh>
    <phoneticPr fontId="1"/>
  </si>
  <si>
    <t>パラメータ：「アプリ番号」設定情報.業務管理マスタアプリID</t>
    <rPh sb="10" eb="12">
      <t>バンゴウ</t>
    </rPh>
    <rPh sb="18" eb="20">
      <t>ギョウム</t>
    </rPh>
    <rPh sb="20" eb="22">
      <t>カンリ</t>
    </rPh>
    <phoneticPr fontId="1"/>
  </si>
  <si>
    <t>処理⑤</t>
    <rPh sb="0" eb="2">
      <t>ショリ</t>
    </rPh>
    <phoneticPr fontId="1"/>
  </si>
  <si>
    <t>・Kintoneアプリ「作業管理マスタ」（https://e0tub.cybozu.com/k/3244/）</t>
    <rPh sb="12" eb="14">
      <t>サギョウ</t>
    </rPh>
    <rPh sb="14" eb="16">
      <t>カンリ</t>
    </rPh>
    <phoneticPr fontId="1"/>
  </si>
  <si>
    <t>　から全レコードを取得し、「入出力シート」取込マッピング「作業管理マスタ」通りに取り込む。</t>
    <rPh sb="3" eb="4">
      <t>ゼン</t>
    </rPh>
    <rPh sb="9" eb="11">
      <t>シュトク</t>
    </rPh>
    <rPh sb="14" eb="17">
      <t>ニュウシュツリョク</t>
    </rPh>
    <rPh sb="21" eb="23">
      <t>トリコミ</t>
    </rPh>
    <rPh sb="29" eb="31">
      <t>サギョウ</t>
    </rPh>
    <rPh sb="31" eb="33">
      <t>カンリ</t>
    </rPh>
    <rPh sb="37" eb="38">
      <t>ドオ</t>
    </rPh>
    <rPh sb="40" eb="41">
      <t>ト</t>
    </rPh>
    <rPh sb="42" eb="43">
      <t>コ</t>
    </rPh>
    <phoneticPr fontId="1"/>
  </si>
  <si>
    <t>※設定情報.作業管理マスタアプリAPIトークン利用</t>
    <rPh sb="1" eb="6">
      <t>セッテイジョウホウ。</t>
    </rPh>
    <rPh sb="6" eb="8">
      <t>サギョウ</t>
    </rPh>
    <rPh sb="8" eb="10">
      <t>カンリ</t>
    </rPh>
    <rPh sb="23" eb="25">
      <t>リヨウ</t>
    </rPh>
    <phoneticPr fontId="1"/>
  </si>
  <si>
    <t>パラメータ：「アプリ番号」設定情報.作業管理マスタアプリID</t>
    <rPh sb="10" eb="12">
      <t>バンゴウ</t>
    </rPh>
    <rPh sb="18" eb="20">
      <t>サギョウ</t>
    </rPh>
    <phoneticPr fontId="1"/>
  </si>
  <si>
    <t>処理⑥</t>
    <rPh sb="0" eb="2">
      <t>ショリ</t>
    </rPh>
    <phoneticPr fontId="1"/>
  </si>
  <si>
    <t>・Kintoneアプリ「カレンダーマスタ」（https://e0tub.cybozu.com/k/3253/）</t>
    <phoneticPr fontId="1"/>
  </si>
  <si>
    <t>　から全レコードを取得し、「入出力シート」取込マッピング「カレンダーマスタ」通りに取り込む。</t>
    <rPh sb="3" eb="4">
      <t>ゼン</t>
    </rPh>
    <rPh sb="9" eb="11">
      <t>シュトク</t>
    </rPh>
    <rPh sb="14" eb="17">
      <t>ニュウシュツリョク</t>
    </rPh>
    <rPh sb="21" eb="23">
      <t>トリコミ</t>
    </rPh>
    <rPh sb="38" eb="39">
      <t>ドオ</t>
    </rPh>
    <rPh sb="41" eb="42">
      <t>ト</t>
    </rPh>
    <rPh sb="43" eb="44">
      <t>コ</t>
    </rPh>
    <phoneticPr fontId="1"/>
  </si>
  <si>
    <t>※設定情報.カレンダーマスタアプリAPIトークン利用</t>
    <rPh sb="1" eb="6">
      <t>セッテイジョウホウ。</t>
    </rPh>
    <rPh sb="24" eb="26">
      <t>リヨウ</t>
    </rPh>
    <phoneticPr fontId="1"/>
  </si>
  <si>
    <t>パラメータ：「アプリ番号」設定情報.カレンダーマスタアプリID</t>
    <rPh sb="10" eb="12">
      <t>バンゴウ</t>
    </rPh>
    <phoneticPr fontId="1"/>
  </si>
  <si>
    <t>処理⑦</t>
    <rPh sb="0" eb="2">
      <t>ショリ</t>
    </rPh>
    <phoneticPr fontId="1"/>
  </si>
  <si>
    <t>・「入出力仕様」シート、中間テーブルマッピング「業務_作業マッピング」通りに</t>
    <rPh sb="2" eb="7">
      <t>ニュウシュツリョクシヨウ</t>
    </rPh>
    <rPh sb="12" eb="14">
      <t>チュウカン</t>
    </rPh>
    <rPh sb="35" eb="36">
      <t>ドオ</t>
    </rPh>
    <phoneticPr fontId="1"/>
  </si>
  <si>
    <t>「業務_作業マッピング」テーブルを作成する。</t>
    <rPh sb="17" eb="19">
      <t>サクセイ</t>
    </rPh>
    <phoneticPr fontId="1"/>
  </si>
  <si>
    <t>※「親課題ID」フィールドは空で作成する。</t>
    <rPh sb="2" eb="3">
      <t>オヤ</t>
    </rPh>
    <rPh sb="3" eb="5">
      <t>カダイ</t>
    </rPh>
    <rPh sb="14" eb="15">
      <t>カラ</t>
    </rPh>
    <rPh sb="16" eb="18">
      <t>サクセイ</t>
    </rPh>
    <phoneticPr fontId="1"/>
  </si>
  <si>
    <t>処理⑧</t>
    <rPh sb="0" eb="2">
      <t>ショリ</t>
    </rPh>
    <phoneticPr fontId="1"/>
  </si>
  <si>
    <t>・「入出力仕様」シート、中間テーブルマッピング「親課題APIデータ」通りに</t>
    <rPh sb="2" eb="7">
      <t>ニュウシュツリョクシヨウ</t>
    </rPh>
    <rPh sb="12" eb="14">
      <t>チュウカン</t>
    </rPh>
    <rPh sb="24" eb="25">
      <t>オヤ</t>
    </rPh>
    <rPh sb="25" eb="27">
      <t>カダイ</t>
    </rPh>
    <rPh sb="34" eb="35">
      <t>ドオ</t>
    </rPh>
    <phoneticPr fontId="1"/>
  </si>
  <si>
    <t>「親課題APIデータ」テーブルを作成する。</t>
    <rPh sb="1" eb="2">
      <t>オヤ</t>
    </rPh>
    <rPh sb="2" eb="4">
      <t>カダイ</t>
    </rPh>
    <rPh sb="16" eb="18">
      <t>サクセイ</t>
    </rPh>
    <phoneticPr fontId="1"/>
  </si>
  <si>
    <t>処理⑨</t>
    <rPh sb="0" eb="2">
      <t>ショリ</t>
    </rPh>
    <phoneticPr fontId="1"/>
  </si>
  <si>
    <t>・処理⑧で作成したデータをAPIを利用して、1レコード１課題として、「入出力仕様」シート、</t>
    <rPh sb="1" eb="3">
      <t>ショリ</t>
    </rPh>
    <rPh sb="5" eb="7">
      <t>サクセイ</t>
    </rPh>
    <rPh sb="17" eb="19">
      <t>リヨウ</t>
    </rPh>
    <rPh sb="28" eb="30">
      <t>カダイ</t>
    </rPh>
    <rPh sb="35" eb="40">
      <t>ニュウシュツリョクシヨウ</t>
    </rPh>
    <phoneticPr fontId="1"/>
  </si>
  <si>
    <t>出力マッピング「親課題APIデータ」通りに、Backlogに登録する。</t>
    <rPh sb="0" eb="2">
      <t>シュツリョク</t>
    </rPh>
    <rPh sb="8" eb="11">
      <t>オヤカダイ</t>
    </rPh>
    <rPh sb="18" eb="19">
      <t>ドオ</t>
    </rPh>
    <rPh sb="30" eb="32">
      <t>トウロク</t>
    </rPh>
    <phoneticPr fontId="1"/>
  </si>
  <si>
    <t>URL：https://[設定情報.Backlogドメイン]/api/v2/issues?apiKey=&lt;APIキー&gt;</t>
    <phoneticPr fontId="1"/>
  </si>
  <si>
    <t>パラメータ：「APIキー」設定情報.BacklogAPIキー</t>
    <rPh sb="13" eb="15">
      <t>セッテイ</t>
    </rPh>
    <rPh sb="15" eb="17">
      <t>ジョウホウ</t>
    </rPh>
    <phoneticPr fontId="1"/>
  </si>
  <si>
    <t>ボディ：「入出力仕様」シート参照</t>
    <phoneticPr fontId="1"/>
  </si>
  <si>
    <t>（参考）https://developer.nulab.com/ja/docs/backlog/api/2/add-issue/#</t>
    <rPh sb="1" eb="3">
      <t>サンコウ</t>
    </rPh>
    <phoneticPr fontId="1"/>
  </si>
  <si>
    <t>　この時、[Backlog連携履歴.登録済課題IDテーブル]に登録した[親課題APIデータ.業務ID]</t>
    <rPh sb="3" eb="4">
      <t>トキ</t>
    </rPh>
    <rPh sb="18" eb="20">
      <t>トウロク</t>
    </rPh>
    <rPh sb="20" eb="21">
      <t>ズミ</t>
    </rPh>
    <rPh sb="21" eb="23">
      <t>カダイ</t>
    </rPh>
    <rPh sb="31" eb="33">
      <t>トウロク</t>
    </rPh>
    <rPh sb="36" eb="37">
      <t>オヤ</t>
    </rPh>
    <rPh sb="37" eb="39">
      <t>カダイ</t>
    </rPh>
    <rPh sb="46" eb="48">
      <t>ギョウム</t>
    </rPh>
    <phoneticPr fontId="1"/>
  </si>
  <si>
    <t>　[APIレスポンス.id]を蓄積する。</t>
    <rPh sb="15" eb="17">
      <t>チクセキ</t>
    </rPh>
    <phoneticPr fontId="1"/>
  </si>
  <si>
    <t>　処理をスキップした場合は[Backlog連携履歴.登録エラー課題IDテーブル]に[親課題APIデータ.業務ID]</t>
    <rPh sb="1" eb="3">
      <t>ショリ</t>
    </rPh>
    <rPh sb="10" eb="12">
      <t>バアイ</t>
    </rPh>
    <rPh sb="26" eb="28">
      <t>トウロク</t>
    </rPh>
    <rPh sb="31" eb="33">
      <t>カダイ</t>
    </rPh>
    <rPh sb="42" eb="43">
      <t>オヤ</t>
    </rPh>
    <rPh sb="52" eb="54">
      <t>ギョウム</t>
    </rPh>
    <phoneticPr fontId="1"/>
  </si>
  <si>
    <t>　[エラーレスポンス.code][エラーレスポンス.message]を蓄積する。</t>
    <rPh sb="35" eb="37">
      <t>チクセキ</t>
    </rPh>
    <phoneticPr fontId="1"/>
  </si>
  <si>
    <t>　どちらも[課題タイプ]＝「親課題」とする。</t>
    <rPh sb="6" eb="8">
      <t>カダイ</t>
    </rPh>
    <rPh sb="14" eb="15">
      <t>オヤ</t>
    </rPh>
    <rPh sb="15" eb="17">
      <t>カダイ</t>
    </rPh>
    <phoneticPr fontId="1"/>
  </si>
  <si>
    <t>処理⑩</t>
    <rPh sb="0" eb="2">
      <t>ショリ</t>
    </rPh>
    <phoneticPr fontId="1"/>
  </si>
  <si>
    <t>・処理⑨の課題登録API実行時のレスポンスから「id」の情報を取得し、</t>
    <rPh sb="1" eb="3">
      <t>ショリ</t>
    </rPh>
    <rPh sb="5" eb="7">
      <t>カダイ</t>
    </rPh>
    <rPh sb="7" eb="9">
      <t>トウロク</t>
    </rPh>
    <rPh sb="12" eb="14">
      <t>ジッコウ</t>
    </rPh>
    <rPh sb="14" eb="15">
      <t>ジ</t>
    </rPh>
    <rPh sb="28" eb="30">
      <t>ジョウホウ</t>
    </rPh>
    <rPh sb="31" eb="33">
      <t>シュトク</t>
    </rPh>
    <phoneticPr fontId="1"/>
  </si>
  <si>
    <t>「業務_作業マッピング」テーブルに下記条件でデータを上書きする。</t>
    <rPh sb="17" eb="19">
      <t>カキ</t>
    </rPh>
    <rPh sb="19" eb="21">
      <t>ジョウケン</t>
    </rPh>
    <rPh sb="26" eb="28">
      <t>ウワガ</t>
    </rPh>
    <phoneticPr fontId="1"/>
  </si>
  <si>
    <t>＜条件＞</t>
    <rPh sb="1" eb="3">
      <t>ジョウケン</t>
    </rPh>
    <phoneticPr fontId="1"/>
  </si>
  <si>
    <t>[業務_作業マッピング.前工程業務ID]　＝　[親課題APIデータ.業務ID]</t>
    <rPh sb="24" eb="25">
      <t>オヤ</t>
    </rPh>
    <rPh sb="25" eb="27">
      <t>カダイ</t>
    </rPh>
    <rPh sb="34" eb="36">
      <t>ギョウム</t>
    </rPh>
    <phoneticPr fontId="1"/>
  </si>
  <si>
    <t>＜レコード上書き＞</t>
    <rPh sb="5" eb="7">
      <t>ウワガ</t>
    </rPh>
    <phoneticPr fontId="1"/>
  </si>
  <si>
    <t>[業務_作業マッピング.親課題ID]　の値を　[レスポンス.id]　の情報で上書き</t>
    <rPh sb="12" eb="13">
      <t>オヤ</t>
    </rPh>
    <rPh sb="13" eb="15">
      <t>カダイ</t>
    </rPh>
    <rPh sb="20" eb="21">
      <t>アタイ</t>
    </rPh>
    <rPh sb="35" eb="37">
      <t>ジョウホウ</t>
    </rPh>
    <rPh sb="38" eb="40">
      <t>ウワガ</t>
    </rPh>
    <phoneticPr fontId="1"/>
  </si>
  <si>
    <t>処理⑪</t>
    <rPh sb="0" eb="2">
      <t>ショリ</t>
    </rPh>
    <phoneticPr fontId="1"/>
  </si>
  <si>
    <t>・「入出力仕様」シート、中間テーブルマッピング「子課題APIデータ」通りに</t>
    <rPh sb="2" eb="7">
      <t>ニュウシュツリョクシヨウ</t>
    </rPh>
    <rPh sb="12" eb="14">
      <t>チュウカン</t>
    </rPh>
    <rPh sb="24" eb="25">
      <t>コ</t>
    </rPh>
    <rPh sb="25" eb="27">
      <t>カダイ</t>
    </rPh>
    <rPh sb="34" eb="35">
      <t>ドオ</t>
    </rPh>
    <phoneticPr fontId="1"/>
  </si>
  <si>
    <t>「子課題APIデータ」テーブルを作成する。</t>
    <rPh sb="1" eb="2">
      <t>コ</t>
    </rPh>
    <rPh sb="2" eb="4">
      <t>カダイ</t>
    </rPh>
    <rPh sb="16" eb="18">
      <t>サクセイ</t>
    </rPh>
    <phoneticPr fontId="1"/>
  </si>
  <si>
    <t>処理⑫</t>
    <rPh sb="0" eb="2">
      <t>ショリ</t>
    </rPh>
    <phoneticPr fontId="1"/>
  </si>
  <si>
    <t>・処理⑪で作成したデータをAPIを利用して、1レコード１課題として、「入出力仕様」シート、</t>
    <rPh sb="1" eb="3">
      <t>ショリ</t>
    </rPh>
    <rPh sb="5" eb="7">
      <t>サクセイ</t>
    </rPh>
    <rPh sb="17" eb="19">
      <t>リヨウ</t>
    </rPh>
    <rPh sb="28" eb="30">
      <t>カダイ</t>
    </rPh>
    <rPh sb="35" eb="40">
      <t>ニュウシュツリョクシヨウ</t>
    </rPh>
    <phoneticPr fontId="1"/>
  </si>
  <si>
    <t>出力マッピング「子課題APIデータ」通りに、Backlogに登録する。</t>
    <rPh sb="0" eb="2">
      <t>シュツリョク</t>
    </rPh>
    <rPh sb="8" eb="9">
      <t>コ</t>
    </rPh>
    <rPh sb="9" eb="11">
      <t>カダイ</t>
    </rPh>
    <rPh sb="18" eb="19">
      <t>ドオ</t>
    </rPh>
    <rPh sb="30" eb="32">
      <t>トウロク</t>
    </rPh>
    <phoneticPr fontId="1"/>
  </si>
  <si>
    <t>URL：https://[設定情報.Backlogドメイン]/api/v2/issues?apiKey=&lt;APIキー&gt;</t>
    <phoneticPr fontId="1"/>
  </si>
  <si>
    <t>　この時、[Backlog連携履歴.登録済課題IDテーブル]に登録した[子課題APIデータ.作業ID]</t>
    <rPh sb="3" eb="4">
      <t>トキ</t>
    </rPh>
    <rPh sb="18" eb="20">
      <t>トウロク</t>
    </rPh>
    <rPh sb="20" eb="21">
      <t>ズミ</t>
    </rPh>
    <rPh sb="21" eb="23">
      <t>カダイ</t>
    </rPh>
    <rPh sb="31" eb="33">
      <t>トウロク</t>
    </rPh>
    <rPh sb="36" eb="37">
      <t>コ</t>
    </rPh>
    <rPh sb="37" eb="39">
      <t>カダイ</t>
    </rPh>
    <phoneticPr fontId="1"/>
  </si>
  <si>
    <t>　紐づく[親課題APIデータ.業務ID][APIレスポンス.id]を蓄積する。</t>
    <rPh sb="1" eb="2">
      <t>ヒモ</t>
    </rPh>
    <rPh sb="15" eb="17">
      <t>ギョウム</t>
    </rPh>
    <rPh sb="34" eb="36">
      <t>チクセキ</t>
    </rPh>
    <phoneticPr fontId="1"/>
  </si>
  <si>
    <t>　処理をスキップした場合は[Backlog連携履歴.登録エラー課題IDテーブル]に[子課題APIデータ.作業ID]</t>
    <rPh sb="1" eb="3">
      <t>ショリ</t>
    </rPh>
    <rPh sb="10" eb="12">
      <t>バアイ</t>
    </rPh>
    <rPh sb="26" eb="28">
      <t>トウロク</t>
    </rPh>
    <rPh sb="31" eb="33">
      <t>カダイ</t>
    </rPh>
    <phoneticPr fontId="1"/>
  </si>
  <si>
    <t>　紐づく[親課題APIデータ.業務ID][エラーレスポンス.code][エラーレスポンス.message]を蓄積する。</t>
    <rPh sb="54" eb="56">
      <t>チクセキ</t>
    </rPh>
    <phoneticPr fontId="1"/>
  </si>
  <si>
    <t>　親課題がエラーで登録できていない場合は、子課題も登録せず[子課題APIデータ.作業ID]も蓄積する。</t>
    <rPh sb="1" eb="2">
      <t>オヤ</t>
    </rPh>
    <rPh sb="2" eb="4">
      <t>カダイ</t>
    </rPh>
    <rPh sb="9" eb="11">
      <t>トウロク</t>
    </rPh>
    <rPh sb="17" eb="19">
      <t>バアイ</t>
    </rPh>
    <rPh sb="21" eb="22">
      <t>コ</t>
    </rPh>
    <rPh sb="22" eb="24">
      <t>カダイ</t>
    </rPh>
    <rPh sb="25" eb="27">
      <t>トウロク</t>
    </rPh>
    <rPh sb="46" eb="48">
      <t>チクセキ</t>
    </rPh>
    <phoneticPr fontId="1"/>
  </si>
  <si>
    <t>　どちらも[課題タイプ]＝「子課題」とする。</t>
    <rPh sb="6" eb="8">
      <t>カダイ</t>
    </rPh>
    <rPh sb="14" eb="15">
      <t>コ</t>
    </rPh>
    <rPh sb="15" eb="17">
      <t>カダイ</t>
    </rPh>
    <phoneticPr fontId="1"/>
  </si>
  <si>
    <t>処理⑬</t>
    <rPh sb="0" eb="2">
      <t>ショリ</t>
    </rPh>
    <phoneticPr fontId="1"/>
  </si>
  <si>
    <t>＜Backlog連携履歴更新フラグが立っている場合＞</t>
    <rPh sb="8" eb="12">
      <t>レンケイリレキ</t>
    </rPh>
    <rPh sb="12" eb="14">
      <t>コウシン</t>
    </rPh>
    <rPh sb="18" eb="19">
      <t>タ</t>
    </rPh>
    <rPh sb="23" eb="25">
      <t>バアイ</t>
    </rPh>
    <phoneticPr fontId="1"/>
  </si>
  <si>
    <t>・Kintoneアプリ「Backlog連携履歴」の該当レコードを更新する。処理①で取得した</t>
    <rPh sb="19" eb="23">
      <t>レンケイリレキ</t>
    </rPh>
    <rPh sb="25" eb="27">
      <t>ガイトウ</t>
    </rPh>
    <rPh sb="32" eb="34">
      <t>コウシン</t>
    </rPh>
    <rPh sb="37" eb="39">
      <t>ショリ</t>
    </rPh>
    <rPh sb="41" eb="43">
      <t>シュトク</t>
    </rPh>
    <phoneticPr fontId="1"/>
  </si>
  <si>
    <t>　[Backlog連携履歴.レコードID]を利用し、「入出力仕様」シート出力マッピング</t>
    <rPh sb="22" eb="24">
      <t>リヨウ</t>
    </rPh>
    <rPh sb="27" eb="30">
      <t>ニュウシュツリョク</t>
    </rPh>
    <rPh sb="30" eb="32">
      <t>シヨウ</t>
    </rPh>
    <rPh sb="36" eb="38">
      <t>シュツリョク</t>
    </rPh>
    <phoneticPr fontId="1"/>
  </si>
  <si>
    <t>「Backlog連携履歴」通りに、下記APIをたたく。</t>
    <rPh sb="13" eb="14">
      <t>ドオ</t>
    </rPh>
    <rPh sb="17" eb="19">
      <t>カキ</t>
    </rPh>
    <phoneticPr fontId="1"/>
  </si>
  <si>
    <t>メソッド：PUT</t>
    <phoneticPr fontId="1"/>
  </si>
  <si>
    <t>※設定情報.Backlog連携履歴アプリAPIトークン利用</t>
    <rPh sb="1" eb="6">
      <t>セッテイジョウホウ。</t>
    </rPh>
    <rPh sb="13" eb="17">
      <t>レンケイリレキ</t>
    </rPh>
    <rPh sb="27" eb="29">
      <t>リヨウ</t>
    </rPh>
    <phoneticPr fontId="1"/>
  </si>
  <si>
    <t>URL：https://e0tub.cybozu.com/k/v1/record.json?app=&lt;アプリ番号&gt;?id=&lt;レコードID&gt;</t>
    <rPh sb="54" eb="56">
      <t>バンゴウ</t>
    </rPh>
    <phoneticPr fontId="1"/>
  </si>
  <si>
    <t>パラメータ：「アプリ番号」設定情報.Backlog連携履歴アプリID</t>
    <rPh sb="10" eb="12">
      <t>バンゴウ</t>
    </rPh>
    <rPh sb="25" eb="29">
      <t>レンケイリレキ</t>
    </rPh>
    <phoneticPr fontId="1"/>
  </si>
  <si>
    <t>　「レコードID」[レスポンス.id]</t>
    <phoneticPr fontId="1"/>
  </si>
  <si>
    <t>（参考）https://developer.cybozu.io/hc/ja/articles/201941784#step1</t>
    <rPh sb="1" eb="3">
      <t>サンコウ</t>
    </rPh>
    <phoneticPr fontId="1"/>
  </si>
  <si>
    <t>＜Backlog連携履歴更新フラグが立っていない場合＞</t>
    <rPh sb="8" eb="12">
      <t>レンケイリレキ</t>
    </rPh>
    <rPh sb="12" eb="14">
      <t>コウシン</t>
    </rPh>
    <rPh sb="18" eb="19">
      <t>タ</t>
    </rPh>
    <rPh sb="24" eb="26">
      <t>バアイ</t>
    </rPh>
    <phoneticPr fontId="1"/>
  </si>
  <si>
    <t>・Kintoneアプリ「Backlog連携履歴」のレコードを追加する。</t>
    <rPh sb="19" eb="23">
      <t>レンケイリレキ</t>
    </rPh>
    <rPh sb="30" eb="32">
      <t>ツイカ</t>
    </rPh>
    <phoneticPr fontId="1"/>
  </si>
  <si>
    <t>　「入出力仕様」シート出力マッピング「Backlog連携履歴」通りに下記APIをたたく。</t>
    <rPh sb="2" eb="5">
      <t>ニュウシュツリョク</t>
    </rPh>
    <rPh sb="5" eb="7">
      <t>シヨウ</t>
    </rPh>
    <rPh sb="11" eb="13">
      <t>シュツリョク</t>
    </rPh>
    <rPh sb="26" eb="30">
      <t>レンケイリレキ</t>
    </rPh>
    <rPh sb="31" eb="32">
      <t>ドオ</t>
    </rPh>
    <rPh sb="34" eb="36">
      <t>カキ</t>
    </rPh>
    <phoneticPr fontId="1"/>
  </si>
  <si>
    <t>URL：https://e0tub.cybozu.com/k/v1/record.json?app=&lt;アプリ番号&gt;</t>
    <rPh sb="54" eb="56">
      <t>バンゴウ</t>
    </rPh>
    <phoneticPr fontId="1"/>
  </si>
  <si>
    <t>（参考）https://developer.cybozu.io/hc/ja/articles/202166160</t>
    <rPh sb="1" eb="3">
      <t>サンコウ</t>
    </rPh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</si>
  <si>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</si>
  <si>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</si>
  <si>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項目名（英）※命名規則</t>
    <rPh sb="0" eb="2">
      <t>コウモク</t>
    </rPh>
    <rPh sb="2" eb="3">
      <t>メイ</t>
    </rPh>
    <rPh sb="4" eb="5">
      <t>エイ</t>
    </rPh>
    <rPh sb="7" eb="11">
      <t>メイメイキソク</t>
    </rPh>
    <phoneticPr fontId="1"/>
  </si>
  <si>
    <t>項目名（英）※命名規則</t>
    <rPh sb="0" eb="2">
      <t>コウモク</t>
    </rPh>
    <rPh sb="2" eb="3">
      <t>メイ</t>
    </rPh>
    <rPh sb="4" eb="5">
      <t>エイ</t>
    </rPh>
    <phoneticPr fontId="1"/>
  </si>
  <si>
    <t>オブジェクト名（英）※命名規則</t>
    <rPh sb="6" eb="7">
      <t>ナ</t>
    </rPh>
    <rPh sb="8" eb="9">
      <t>エイ</t>
    </rPh>
    <phoneticPr fontId="1"/>
  </si>
  <si>
    <t>３．出力条件一覧</t>
    <rPh sb="2" eb="4">
      <t>シュツリョク</t>
    </rPh>
    <rPh sb="4" eb="8">
      <t>ジョウケンイチラン</t>
    </rPh>
    <phoneticPr fontId="1"/>
  </si>
  <si>
    <t>アウトプット</t>
    <phoneticPr fontId="1"/>
  </si>
  <si>
    <t>インプット</t>
    <phoneticPr fontId="1"/>
  </si>
  <si>
    <t>集計ロジック</t>
    <rPh sb="0" eb="2">
      <t>シュウケイ</t>
    </rPh>
    <phoneticPr fontId="1"/>
  </si>
  <si>
    <t>取込ロジック</t>
    <rPh sb="0" eb="2">
      <t>トリコミ</t>
    </rPh>
    <phoneticPr fontId="1"/>
  </si>
  <si>
    <t>スペース</t>
    <phoneticPr fontId="22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</si>
  <si>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</si>
  <si>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</si>
  <si>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</si>
  <si>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</si>
  <si>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</si>
  <si>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</si>
  <si>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</si>
  <si>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</si>
  <si>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</si>
  <si>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</si>
  <si>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</si>
  <si>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2"/>
  </si>
  <si>
    <t>依存</t>
  </si>
  <si>
    <t>規定値</t>
  </si>
  <si>
    <t>ｐｏｐｕｌａ【テスト環境】</t>
    <phoneticPr fontId="22"/>
  </si>
  <si>
    <t>TABLE</t>
  </si>
  <si>
    <t>1</t>
    <phoneticPr fontId="22"/>
  </si>
  <si>
    <t>テスト名</t>
  </si>
  <si>
    <t>文字列（1行）</t>
  </si>
  <si>
    <t>Yes</t>
    <phoneticPr fontId="22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</si>
  <si>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</si>
  <si>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</si>
  <si>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</si>
  <si>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</si>
  <si>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</si>
  <si>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</si>
  <si>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</si>
  <si>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</si>
  <si>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</si>
  <si>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</si>
  <si>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</si>
  <si>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</si>
  <si>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</si>
  <si>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</si>
  <si>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</si>
  <si>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</si>
  <si>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</si>
  <si>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</si>
  <si>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2"/>
  </si>
  <si>
    <t>再受験</t>
  </si>
  <si>
    <t>チェックボックス</t>
  </si>
  <si>
    <t>試験対象 DEV</t>
    <phoneticPr fontId="22"/>
  </si>
  <si>
    <t>在籍情報ALL DEV.個人C</t>
    <phoneticPr fontId="22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</si>
  <si>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</si>
  <si>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</si>
  <si>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</si>
  <si>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</si>
  <si>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</si>
  <si>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</si>
  <si>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</si>
  <si>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</si>
  <si>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</si>
  <si>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</si>
  <si>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</si>
  <si>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</si>
  <si>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</si>
  <si>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</si>
  <si>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</si>
  <si>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</si>
  <si>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</si>
  <si>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</si>
  <si>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</si>
  <si>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</si>
  <si>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</si>
  <si>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</si>
  <si>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</si>
  <si>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</si>
  <si>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</si>
  <si>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</si>
  <si>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</si>
  <si>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</si>
  <si>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</si>
  <si>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</si>
  <si>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</si>
  <si>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</si>
  <si>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</si>
  <si>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2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</si>
  <si>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</si>
  <si>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</si>
  <si>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</si>
  <si>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</si>
  <si>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</si>
  <si>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2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</si>
  <si>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</si>
  <si>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</si>
  <si>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</si>
  <si>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</si>
  <si>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</si>
  <si>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</si>
  <si>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</si>
  <si>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2"/>
  </si>
  <si>
    <t>3</t>
    <phoneticPr fontId="22"/>
  </si>
  <si>
    <t>4</t>
    <phoneticPr fontId="22"/>
  </si>
  <si>
    <t>5</t>
    <phoneticPr fontId="22"/>
  </si>
  <si>
    <t>6</t>
    <phoneticPr fontId="22"/>
  </si>
  <si>
    <t>7</t>
    <phoneticPr fontId="22"/>
  </si>
  <si>
    <t>8</t>
    <phoneticPr fontId="22"/>
  </si>
  <si>
    <t>9</t>
    <phoneticPr fontId="22"/>
  </si>
  <si>
    <t>10</t>
    <phoneticPr fontId="22"/>
  </si>
  <si>
    <t>11</t>
    <phoneticPr fontId="22"/>
  </si>
  <si>
    <t>12</t>
    <phoneticPr fontId="22"/>
  </si>
  <si>
    <t>13</t>
    <phoneticPr fontId="22"/>
  </si>
  <si>
    <t>14</t>
    <phoneticPr fontId="22"/>
  </si>
  <si>
    <t>15</t>
    <phoneticPr fontId="22"/>
  </si>
  <si>
    <t>16</t>
    <phoneticPr fontId="22"/>
  </si>
  <si>
    <t>17</t>
    <phoneticPr fontId="22"/>
  </si>
  <si>
    <t>18</t>
    <phoneticPr fontId="22"/>
  </si>
  <si>
    <t>19</t>
    <phoneticPr fontId="22"/>
  </si>
  <si>
    <t>20</t>
    <phoneticPr fontId="22"/>
  </si>
  <si>
    <t>21</t>
    <phoneticPr fontId="22"/>
  </si>
  <si>
    <t>22</t>
    <phoneticPr fontId="22"/>
  </si>
  <si>
    <t>23</t>
    <phoneticPr fontId="22"/>
  </si>
  <si>
    <t>24</t>
    <phoneticPr fontId="22"/>
  </si>
  <si>
    <t>25</t>
    <phoneticPr fontId="22"/>
  </si>
  <si>
    <t>26</t>
    <phoneticPr fontId="22"/>
  </si>
  <si>
    <t>27</t>
    <phoneticPr fontId="22"/>
  </si>
  <si>
    <t>28</t>
    <phoneticPr fontId="22"/>
  </si>
  <si>
    <t>29</t>
    <phoneticPr fontId="22"/>
  </si>
  <si>
    <t>30</t>
    <phoneticPr fontId="22"/>
  </si>
  <si>
    <t>31</t>
    <phoneticPr fontId="22"/>
  </si>
  <si>
    <t>32</t>
    <phoneticPr fontId="22"/>
  </si>
  <si>
    <t>33</t>
    <phoneticPr fontId="22"/>
  </si>
  <si>
    <t>34</t>
    <phoneticPr fontId="22"/>
  </si>
  <si>
    <t>35</t>
    <phoneticPr fontId="22"/>
  </si>
  <si>
    <t>36</t>
    <phoneticPr fontId="22"/>
  </si>
  <si>
    <t>37</t>
    <phoneticPr fontId="22"/>
  </si>
  <si>
    <t>38</t>
    <phoneticPr fontId="22"/>
  </si>
  <si>
    <t>39</t>
    <phoneticPr fontId="22"/>
  </si>
  <si>
    <t>40</t>
    <phoneticPr fontId="22"/>
  </si>
  <si>
    <t>41</t>
    <phoneticPr fontId="22"/>
  </si>
  <si>
    <t>２．取込条件一覧</t>
    <rPh sb="2" eb="3">
      <t>ト</t>
    </rPh>
    <rPh sb="3" eb="4">
      <t>コ</t>
    </rPh>
    <rPh sb="4" eb="8">
      <t>ジョウケンイチラン</t>
    </rPh>
    <phoneticPr fontId="1"/>
  </si>
  <si>
    <t>凡例：</t>
    <rPh sb="0" eb="2">
      <t>ハンレイ</t>
    </rPh>
    <phoneticPr fontId="25"/>
  </si>
  <si>
    <t>動作環境</t>
    <rPh sb="0" eb="4">
      <t>ドウサカンキョウ</t>
    </rPh>
    <phoneticPr fontId="1"/>
  </si>
  <si>
    <t>.NET Framework Version</t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</si>
  <si>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</si>
  <si>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</si>
  <si>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</si>
  <si>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</si>
  <si>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</si>
  <si>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</si>
  <si>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</si>
  <si>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</si>
  <si>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</si>
  <si>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</si>
  <si>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</si>
  <si>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</si>
  <si>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</si>
  <si>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</si>
  <si>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</si>
  <si>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</si>
  <si>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</si>
  <si>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</si>
  <si>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</si>
  <si>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</si>
  <si>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</si>
  <si>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</si>
  <si>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</si>
  <si>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</si>
  <si>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</si>
  <si>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</si>
  <si>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ver4.8～</t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</si>
  <si>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</si>
  <si>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</si>
  <si>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</si>
  <si>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</si>
  <si>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</si>
  <si>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</si>
  <si>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</si>
  <si>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画面定義</t>
    <rPh sb="0" eb="4">
      <t>ガメンテイギ</t>
    </rPh>
    <phoneticPr fontId="1"/>
  </si>
  <si>
    <t>処理フロー図</t>
    <rPh sb="0" eb="2">
      <t>ショリ</t>
    </rPh>
    <rPh sb="5" eb="6">
      <t>ズ</t>
    </rPh>
    <phoneticPr fontId="1"/>
  </si>
  <si>
    <t>帳票定義</t>
    <rPh sb="0" eb="4">
      <t>チョウヒョウテイギ</t>
    </rPh>
    <phoneticPr fontId="1"/>
  </si>
  <si>
    <t>メッセージ一覧</t>
    <rPh sb="5" eb="7">
      <t>イチラン</t>
    </rPh>
    <phoneticPr fontId="1"/>
  </si>
  <si>
    <t>データフロー図</t>
    <rPh sb="6" eb="7">
      <t>ズ</t>
    </rPh>
    <phoneticPr fontId="1"/>
  </si>
  <si>
    <t>テーブル定義</t>
    <rPh sb="4" eb="6">
      <t>テイギ</t>
    </rPh>
    <phoneticPr fontId="1"/>
  </si>
  <si>
    <t>ER図</t>
    <rPh sb="2" eb="3">
      <t>ズ</t>
    </rPh>
    <phoneticPr fontId="1"/>
  </si>
  <si>
    <t>ログ出力</t>
    <rPh sb="2" eb="4">
      <t>シュツリョク</t>
    </rPh>
    <phoneticPr fontId="1"/>
  </si>
  <si>
    <t>操作手順</t>
    <rPh sb="0" eb="4">
      <t>ソウサテジュン</t>
    </rPh>
    <phoneticPr fontId="1"/>
  </si>
  <si>
    <t>【R-ICT Win】ExcelやAccessファイルでマクロ／VBAが動作しない | オンラインヘルプ (recruit.co.jp)</t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</si>
  <si>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</si>
  <si>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</si>
  <si>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列名の完全一致</t>
    <rPh sb="0" eb="2">
      <t>レツメイ</t>
    </rPh>
    <rPh sb="3" eb="7">
      <t>カンゼンイッチ</t>
    </rPh>
    <phoneticPr fontId="1"/>
  </si>
  <si>
    <t>必要最低限の列が存在すること（詳細は２．参照）</t>
    <rPh sb="0" eb="2">
      <t>ヒツヨウ</t>
    </rPh>
    <rPh sb="2" eb="5">
      <t>サイテイゲン</t>
    </rPh>
    <rPh sb="6" eb="7">
      <t>レツ</t>
    </rPh>
    <rPh sb="8" eb="10">
      <t>ソンザイ</t>
    </rPh>
    <rPh sb="15" eb="17">
      <t>ショウサイ</t>
    </rPh>
    <rPh sb="20" eb="22">
      <t>サンショウ</t>
    </rPh>
    <phoneticPr fontId="1"/>
  </si>
  <si>
    <t>Visual Studio 2022</t>
    <phoneticPr fontId="1"/>
  </si>
  <si>
    <t>.xlsx</t>
    <phoneticPr fontId="1"/>
  </si>
  <si>
    <t>クラウド版VDI（Win11）</t>
    <rPh sb="4" eb="5">
      <t>バン</t>
    </rPh>
    <phoneticPr fontId="1"/>
  </si>
  <si>
    <t>項目定義</t>
    <rPh sb="0" eb="2">
      <t>コウモク</t>
    </rPh>
    <rPh sb="2" eb="4">
      <t>テイギ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</si>
</sst>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b/>
      <sz val="11"/>
      <color theme="3"/>
      <name val="メイリオ"/>
      <family val="2"/>
      <charset val="128"/>
    </font>
    <font>
      <b/>
      <sz val="10"/>
      <color theme="3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032F62"/>
      <name val="Meiryo UI"/>
      <family val="3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u/>
      <sz val="11"/>
      <color theme="10"/>
      <name val="メイリオ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</borders>
  <cellStyleXfs count="12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18" fillId="0" borderId="8" applyNumberFormat="0" applyFill="0" applyAlignment="0" applyProtection="0">
      <alignment vertical="center"/>
    </xf>
    <xf numFmtId="0" fontId="23" fillId="0" borderId="0">
      <alignment vertical="center"/>
    </xf>
    <xf numFmtId="0" fontId="26" fillId="0" borderId="0" applyNumberFormat="0" applyFill="0" applyBorder="0" applyAlignment="0" applyProtection="0">
      <alignment vertical="center"/>
    </xf>
  </cellStyleXfs>
  <cellXfs count="156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19" fillId="0" borderId="8" xfId="9" applyFont="1" applyFill="1" applyAlignment="1"/>
    <xf numFmtId="0" fontId="18" fillId="0" borderId="8" xfId="9" applyFill="1" applyAlignment="1"/>
    <xf numFmtId="0" fontId="20" fillId="0" borderId="0" xfId="1" applyFont="1" applyAlignment="1">
      <alignment horizontal="left" vertical="center"/>
    </xf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4" borderId="16" xfId="1" applyFont="1" applyFill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20" fillId="5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4" fillId="0" borderId="0" xfId="10" applyFont="1">
      <alignment vertical="center"/>
    </xf>
    <xf numFmtId="0" fontId="23" fillId="0" borderId="0" xfId="10">
      <alignment vertical="center"/>
    </xf>
    <xf numFmtId="0" fontId="23" fillId="8" borderId="0" xfId="10" applyFill="1">
      <alignment vertical="center"/>
    </xf>
    <xf numFmtId="0" fontId="24" fillId="8" borderId="0" xfId="10" applyFont="1" applyFill="1">
      <alignment vertical="center"/>
    </xf>
    <xf numFmtId="0" fontId="27" fillId="8" borderId="0" xfId="10" applyFont="1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9" fillId="0" borderId="0" xfId="1" applyFont="1" applyAlignment="1">
      <alignment horizontal="left" vertical="center"/>
    </xf>
    <xf numFmtId="0" fontId="3" fillId="4" borderId="27" xfId="1" applyFont="1" applyFill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4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0" borderId="30" xfId="1" applyFont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8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4" borderId="34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6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16" fillId="0" borderId="10" xfId="1" applyFont="1" applyBorder="1" applyAlignment="1">
      <alignment vertical="center"/>
    </xf>
    <xf numFmtId="0" fontId="16" fillId="0" borderId="12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37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28" fillId="0" borderId="19" xfId="1" applyFont="1" applyBorder="1" applyAlignment="1">
      <alignment vertical="center"/>
    </xf>
    <xf numFmtId="0" fontId="3" fillId="0" borderId="9" xfId="0" applyFont="1" applyBorder="1"/>
    <xf numFmtId="17" fontId="3" fillId="0" borderId="10" xfId="1" applyNumberFormat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13" fillId="5" borderId="0" xfId="8" applyFont="1" applyFill="1"/>
    <xf numFmtId="0" fontId="30" fillId="0" borderId="0" xfId="8" applyFont="1"/>
    <xf numFmtId="0" fontId="28" fillId="0" borderId="0" xfId="1" applyFont="1" applyAlignment="1">
      <alignment horizontal="left" vertical="center"/>
    </xf>
    <xf numFmtId="0" fontId="3" fillId="0" borderId="5" xfId="0" applyFont="1" applyBorder="1"/>
    <xf numFmtId="17" fontId="3" fillId="0" borderId="6" xfId="1" applyNumberFormat="1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14" fontId="3" fillId="0" borderId="4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4" xfId="0" applyFont="1" applyFill="1" applyBorder="1"/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4" fillId="2" borderId="0" xfId="1" applyFont="1" applyFill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14" fillId="2" borderId="3" xfId="1" applyFont="1" applyFill="1" applyBorder="1" applyAlignment="1">
      <alignment horizontal="left" vertical="center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3" fillId="6" borderId="4" xfId="1" applyFont="1" applyFill="1" applyBorder="1" applyAlignment="1">
      <alignment horizontal="left" vertical="center"/>
    </xf>
    <xf numFmtId="0" fontId="3" fillId="6" borderId="7" xfId="1" applyFont="1" applyFill="1" applyBorder="1" applyAlignment="1">
      <alignment vertical="center"/>
    </xf>
    <xf numFmtId="0" fontId="3" fillId="7" borderId="4" xfId="1" applyFont="1" applyFill="1" applyBorder="1" applyAlignment="1">
      <alignment horizontal="left" vertical="center"/>
    </xf>
    <xf numFmtId="0" fontId="3" fillId="7" borderId="4" xfId="1" applyFont="1" applyFill="1" applyBorder="1" applyAlignment="1">
      <alignment vertical="center"/>
    </xf>
    <xf numFmtId="0" fontId="3" fillId="0" borderId="4" xfId="1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4" borderId="4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0" borderId="5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</cellXfs>
  <cellStyles count="12">
    <cellStyle name="パーセント 2" xfId="4" xr:uid="{00000000-0005-0000-0000-000000000000}"/>
    <cellStyle name="ハイパーリンク" xfId="8" builtinId="8"/>
    <cellStyle name="ハイパーリンク 2" xfId="11" xr:uid="{0C8DF166-FC64-47FA-8734-BD1D4425125E}"/>
    <cellStyle name="桁区切り 2" xfId="6" xr:uid="{00000000-0005-0000-0000-000002000000}"/>
    <cellStyle name="見出し 3" xfId="9" builtinId="18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10" xr:uid="{255D6EFD-43D4-43AF-A2AA-E82115E60EBE}"/>
    <cellStyle name="標準 6" xfId="5" xr:uid="{00000000-0005-0000-0000-000008000000}"/>
    <cellStyle name="標準_生産計画ED書" xfId="1" xr:uid="{00000000-0005-0000-0000-000009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jpe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jpg"/><Relationship Id="rId11" Type="http://schemas.openxmlformats.org/officeDocument/2006/relationships/image" Target="../media/image14.png"/><Relationship Id="rId5" Type="http://schemas.openxmlformats.org/officeDocument/2006/relationships/image" Target="../media/image8.jpeg"/><Relationship Id="rId10" Type="http://schemas.openxmlformats.org/officeDocument/2006/relationships/image" Target="../media/image13.jpeg"/><Relationship Id="rId4" Type="http://schemas.openxmlformats.org/officeDocument/2006/relationships/image" Target="../media/image7.jpeg"/><Relationship Id="rId9" Type="http://schemas.openxmlformats.org/officeDocument/2006/relationships/image" Target="../media/image12.jp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85221</xdr:rowOff>
    </xdr:from>
    <xdr:to>
      <xdr:col>13</xdr:col>
      <xdr:colOff>171450</xdr:colOff>
      <xdr:row>11</xdr:row>
      <xdr:rowOff>85221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399671"/>
          <a:ext cx="2076450" cy="9525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136991</xdr:colOff>
      <xdr:row>8</xdr:row>
      <xdr:rowOff>30245</xdr:rowOff>
    </xdr:from>
    <xdr:to>
      <xdr:col>19</xdr:col>
      <xdr:colOff>149189</xdr:colOff>
      <xdr:row>12</xdr:row>
      <xdr:rowOff>42443</xdr:rowOff>
    </xdr:to>
    <xdr:pic>
      <xdr:nvPicPr>
        <xdr:cNvPr id="3" name="Picture 2" descr="PowerPointでよく見かける人の画像を一括検索する方法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1616" y="1725695"/>
          <a:ext cx="774198" cy="7741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132817</xdr:colOff>
      <xdr:row>8</xdr:row>
      <xdr:rowOff>30245</xdr:rowOff>
    </xdr:from>
    <xdr:to>
      <xdr:col>24</xdr:col>
      <xdr:colOff>169265</xdr:colOff>
      <xdr:row>12</xdr:row>
      <xdr:rowOff>156766</xdr:rowOff>
    </xdr:to>
    <xdr:pic>
      <xdr:nvPicPr>
        <xdr:cNvPr id="4" name="Picture 4" descr="https://azriton.github.io/assets/misc/pptman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50" t="34576" r="61656" b="10058"/>
        <a:stretch/>
      </xdr:blipFill>
      <xdr:spPr bwMode="auto">
        <a:xfrm>
          <a:off x="3933292" y="1725695"/>
          <a:ext cx="607948" cy="8885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123825</xdr:colOff>
      <xdr:row>13</xdr:row>
      <xdr:rowOff>0</xdr:rowOff>
    </xdr:from>
    <xdr:to>
      <xdr:col>41</xdr:col>
      <xdr:colOff>47625</xdr:colOff>
      <xdr:row>17</xdr:row>
      <xdr:rowOff>133350</xdr:rowOff>
    </xdr:to>
    <xdr:sp macro="" textlink="">
      <xdr:nvSpPr>
        <xdr:cNvPr id="6" name="雲形吹き出し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485775" y="2647950"/>
          <a:ext cx="6981825" cy="895350"/>
        </a:xfrm>
        <a:prstGeom prst="cloudCallout">
          <a:avLst>
            <a:gd name="adj1" fmla="val 48698"/>
            <a:gd name="adj2" fmla="val 16197"/>
          </a:avLst>
        </a:prstGeom>
        <a:noFill/>
        <a:ln w="9525" cap="flat" cmpd="sng" algn="ctr">
          <a:solidFill>
            <a:schemeClr val="bg2">
              <a:lumMod val="90000"/>
            </a:schemeClr>
          </a:solidFill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rtl="0" fontAlgn="base"/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　　流用新規で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毎に作成した場合、シンプルな形で各業務にフィット可能だが、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MTC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側でのロジック管理が煩雑となってしまう懸念がある</a:t>
          </a:r>
          <a:endParaRPr kumimoji="1" lang="ja-JP" altLang="en-US" sz="1200"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66675</xdr:colOff>
      <xdr:row>6</xdr:row>
      <xdr:rowOff>55245</xdr:rowOff>
    </xdr:from>
    <xdr:to>
      <xdr:col>41</xdr:col>
      <xdr:colOff>19050</xdr:colOff>
      <xdr:row>12</xdr:row>
      <xdr:rowOff>1905</xdr:rowOff>
    </xdr:to>
    <xdr:sp macro="" textlink="">
      <xdr:nvSpPr>
        <xdr:cNvPr id="7" name="吹き出し: 四角形 6">
          <a:extLst>
            <a:ext uri="{FF2B5EF4-FFF2-40B4-BE49-F238E27FC236}">
              <a16:creationId xmlns:a16="http://schemas.microsoft.com/office/drawing/2014/main" id="{7DA5E0B7-CF4C-04BE-EAB7-366D1E147167}"/>
            </a:ext>
          </a:extLst>
        </xdr:cNvPr>
        <xdr:cNvSpPr/>
      </xdr:nvSpPr>
      <xdr:spPr>
        <a:xfrm>
          <a:off x="5591175" y="1369695"/>
          <a:ext cx="2238375" cy="1089660"/>
        </a:xfrm>
        <a:prstGeom prst="wedgeRectCallout">
          <a:avLst>
            <a:gd name="adj1" fmla="val -76661"/>
            <a:gd name="adj2" fmla="val 24038"/>
          </a:avLst>
        </a:prstGeom>
        <a:solidFill>
          <a:schemeClr val="accent4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なにそれ、めっちゃええやん。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うちの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の業務でも使いたいわ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でもちょっとだけ条件ちがうのよね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カスタムしたいわ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74771</xdr:colOff>
      <xdr:row>3</xdr:row>
      <xdr:rowOff>104776</xdr:rowOff>
    </xdr:from>
    <xdr:to>
      <xdr:col>47</xdr:col>
      <xdr:colOff>171450</xdr:colOff>
      <xdr:row>12</xdr:row>
      <xdr:rowOff>161926</xdr:rowOff>
    </xdr:to>
    <xdr:grpSp>
      <xdr:nvGrpSpPr>
        <xdr:cNvPr id="12" name="グループ化 11">
          <a:extLst>
            <a:ext uri="{FF2B5EF4-FFF2-40B4-BE49-F238E27FC236}">
              <a16:creationId xmlns:a16="http://schemas.microsoft.com/office/drawing/2014/main" id="{744E227F-FAA5-4C1A-8960-63023F582892}"/>
            </a:ext>
          </a:extLst>
        </xdr:cNvPr>
        <xdr:cNvGrpSpPr/>
      </xdr:nvGrpSpPr>
      <xdr:grpSpPr>
        <a:xfrm>
          <a:off x="3694271" y="904876"/>
          <a:ext cx="5725954" cy="1771650"/>
          <a:chOff x="3694271" y="904876"/>
          <a:chExt cx="5430679" cy="1771650"/>
        </a:xfrm>
      </xdr:grpSpPr>
      <xdr:sp macro="" textlink="">
        <xdr:nvSpPr>
          <xdr:cNvPr id="33" name="角丸四角形 18">
            <a:extLst>
              <a:ext uri="{FF2B5EF4-FFF2-40B4-BE49-F238E27FC236}">
                <a16:creationId xmlns:a16="http://schemas.microsoft.com/office/drawing/2014/main" id="{B03A6C85-E2B8-47EC-8EA6-C97377174D58}"/>
              </a:ext>
            </a:extLst>
          </xdr:cNvPr>
          <xdr:cNvSpPr>
            <a:spLocks noChangeArrowheads="1"/>
          </xdr:cNvSpPr>
        </xdr:nvSpPr>
        <xdr:spPr bwMode="auto">
          <a:xfrm>
            <a:off x="3694271" y="904876"/>
            <a:ext cx="5430679" cy="1771650"/>
          </a:xfrm>
          <a:prstGeom prst="roundRect">
            <a:avLst>
              <a:gd name="adj" fmla="val 2139"/>
            </a:avLst>
          </a:prstGeom>
          <a:noFill/>
          <a:ln w="12700">
            <a:solidFill>
              <a:schemeClr val="accent1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050" b="1" i="0" u="none" strike="noStrike" baseline="0">
                <a:solidFill>
                  <a:schemeClr val="accent1"/>
                </a:solidFill>
                <a:latin typeface="メイリオ"/>
                <a:ea typeface="メイリオ"/>
              </a:rPr>
              <a:t>直販（エリ室＋クラマ）営業メンバー</a:t>
            </a:r>
          </a:p>
        </xdr:txBody>
      </xdr:sp>
      <xdr:pic>
        <xdr:nvPicPr>
          <xdr:cNvPr id="55" name="図 54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740860E6-90D3-468A-A4FF-97512C8422C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448300" y="13716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6" name="図 55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9A79B33C-7141-46FE-B04E-28491E631D5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438775" y="2105025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7" name="図 56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6087CA58-3AC1-4E21-A752-F36B6F0103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905500" y="17145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7" name="図 86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6F370DDB-87D0-4D6A-9C0A-B468DF9805E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86525" y="12954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8" name="図 87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314DB2F8-3BB7-4619-87CF-036AE258767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0" y="20574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19</xdr:col>
      <xdr:colOff>74772</xdr:colOff>
      <xdr:row>13</xdr:row>
      <xdr:rowOff>76200</xdr:rowOff>
    </xdr:from>
    <xdr:to>
      <xdr:col>47</xdr:col>
      <xdr:colOff>180976</xdr:colOff>
      <xdr:row>27</xdr:row>
      <xdr:rowOff>38099</xdr:rowOff>
    </xdr:to>
    <xdr:sp macro="" textlink="">
      <xdr:nvSpPr>
        <xdr:cNvPr id="32" name="角丸四角形 18">
          <a:extLst>
            <a:ext uri="{FF2B5EF4-FFF2-40B4-BE49-F238E27FC236}">
              <a16:creationId xmlns:a16="http://schemas.microsoft.com/office/drawing/2014/main" id="{F675C839-1D27-4ED7-B15D-7C30EDE0F6B9}"/>
            </a:ext>
          </a:extLst>
        </xdr:cNvPr>
        <xdr:cNvSpPr>
          <a:spLocks noChangeArrowheads="1"/>
        </xdr:cNvSpPr>
      </xdr:nvSpPr>
      <xdr:spPr bwMode="auto">
        <a:xfrm>
          <a:off x="3694272" y="2781300"/>
          <a:ext cx="5440204" cy="2628899"/>
        </a:xfrm>
        <a:prstGeom prst="roundRect">
          <a:avLst>
            <a:gd name="adj" fmla="val 2139"/>
          </a:avLst>
        </a:prstGeom>
        <a:noFill/>
        <a:ln w="12700">
          <a:solidFill>
            <a:schemeClr val="accent1">
              <a:lumMod val="75000"/>
            </a:schemeClr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altLang="ja-JP" sz="1050" b="1" i="0" u="none" strike="noStrike" baseline="0">
              <a:solidFill>
                <a:schemeClr val="accent1">
                  <a:lumMod val="75000"/>
                </a:schemeClr>
              </a:solidFill>
              <a:latin typeface="メイリオ"/>
              <a:ea typeface="メイリオ"/>
            </a:rPr>
            <a:t>BPMG</a:t>
          </a:r>
          <a:endParaRPr lang="ja-JP" altLang="en-US" sz="1050" b="1" i="0" u="none" strike="noStrike" baseline="0">
            <a:solidFill>
              <a:schemeClr val="accent1">
                <a:lumMod val="75000"/>
              </a:schemeClr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37</xdr:col>
      <xdr:colOff>152400</xdr:colOff>
      <xdr:row>10</xdr:row>
      <xdr:rowOff>66676</xdr:rowOff>
    </xdr:from>
    <xdr:to>
      <xdr:col>51</xdr:col>
      <xdr:colOff>104775</xdr:colOff>
      <xdr:row>16</xdr:row>
      <xdr:rowOff>38102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7496175" y="2200276"/>
          <a:ext cx="2619375" cy="1114426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１．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LINE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 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WORKS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からグループ（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@rjb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）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のメンバー情報やトーク履歴を取得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２．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COCO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階層型アドレス帳から組織情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報を取得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３．データを整形して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Excel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29</xdr:col>
      <xdr:colOff>66675</xdr:colOff>
      <xdr:row>15</xdr:row>
      <xdr:rowOff>171449</xdr:rowOff>
    </xdr:from>
    <xdr:to>
      <xdr:col>38</xdr:col>
      <xdr:colOff>104775</xdr:colOff>
      <xdr:row>18</xdr:row>
      <xdr:rowOff>161924</xdr:rowOff>
    </xdr:to>
    <xdr:sp macro="" textlink="">
      <xdr:nvSpPr>
        <xdr:cNvPr id="39" name="テキスト ボックス 4">
          <a:extLst>
            <a:ext uri="{FF2B5EF4-FFF2-40B4-BE49-F238E27FC236}">
              <a16:creationId xmlns:a16="http://schemas.microsoft.com/office/drawing/2014/main" id="{03045619-5723-4886-8E40-9126A6B1AB40}"/>
            </a:ext>
          </a:extLst>
        </xdr:cNvPr>
        <xdr:cNvSpPr txBox="1">
          <a:spLocks noChangeArrowheads="1"/>
        </xdr:cNvSpPr>
      </xdr:nvSpPr>
      <xdr:spPr bwMode="auto">
        <a:xfrm>
          <a:off x="5591175" y="3257549"/>
          <a:ext cx="175260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endParaRPr lang="ja-JP" altLang="en-US" sz="900" b="1" i="0" u="none" strike="noStrike" baseline="0">
            <a:solidFill>
              <a:schemeClr val="accent6">
                <a:lumMod val="50000"/>
              </a:schemeClr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20</xdr:col>
      <xdr:colOff>123824</xdr:colOff>
      <xdr:row>22</xdr:row>
      <xdr:rowOff>76200</xdr:rowOff>
    </xdr:from>
    <xdr:to>
      <xdr:col>30</xdr:col>
      <xdr:colOff>57149</xdr:colOff>
      <xdr:row>23</xdr:row>
      <xdr:rowOff>9525</xdr:rowOff>
    </xdr:to>
    <xdr:sp macro="" textlink="">
      <xdr:nvSpPr>
        <xdr:cNvPr id="44" name="右矢印 66">
          <a:extLst>
            <a:ext uri="{FF2B5EF4-FFF2-40B4-BE49-F238E27FC236}">
              <a16:creationId xmlns:a16="http://schemas.microsoft.com/office/drawing/2014/main" id="{C348BBCE-995D-4D3E-9853-90C4CFCC0380}"/>
            </a:ext>
          </a:extLst>
        </xdr:cNvPr>
        <xdr:cNvSpPr/>
      </xdr:nvSpPr>
      <xdr:spPr bwMode="auto">
        <a:xfrm>
          <a:off x="3933824" y="4495800"/>
          <a:ext cx="1838325" cy="123825"/>
        </a:xfrm>
        <a:prstGeom prst="rightArrow">
          <a:avLst/>
        </a:prstGeom>
        <a:solidFill>
          <a:srgbClr val="FF0000"/>
        </a:solidFill>
        <a:ln w="9525" cap="flat" cmpd="sng" algn="ctr">
          <a:noFill/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/>
        <a:p>
          <a:endParaRPr lang="ja-JP" altLang="en-US"/>
        </a:p>
      </xdr:txBody>
    </xdr:sp>
    <xdr:clientData/>
  </xdr:twoCellAnchor>
  <xdr:twoCellAnchor>
    <xdr:from>
      <xdr:col>19</xdr:col>
      <xdr:colOff>95249</xdr:colOff>
      <xdr:row>22</xdr:row>
      <xdr:rowOff>161924</xdr:rowOff>
    </xdr:from>
    <xdr:to>
      <xdr:col>31</xdr:col>
      <xdr:colOff>85724</xdr:colOff>
      <xdr:row>24</xdr:row>
      <xdr:rowOff>66676</xdr:rowOff>
    </xdr:to>
    <xdr:sp macro="" textlink="">
      <xdr:nvSpPr>
        <xdr:cNvPr id="45" name="テキスト ボックス 1">
          <a:extLst>
            <a:ext uri="{FF2B5EF4-FFF2-40B4-BE49-F238E27FC236}">
              <a16:creationId xmlns:a16="http://schemas.microsoft.com/office/drawing/2014/main" id="{47619EC6-B3CF-4EE7-8E5F-8414C8E23603}"/>
            </a:ext>
          </a:extLst>
        </xdr:cNvPr>
        <xdr:cNvSpPr txBox="1">
          <a:spLocks noChangeArrowheads="1"/>
        </xdr:cNvSpPr>
      </xdr:nvSpPr>
      <xdr:spPr bwMode="auto">
        <a:xfrm>
          <a:off x="3714749" y="4581524"/>
          <a:ext cx="2276475" cy="28575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個人アドレス帳にある連絡先のリストを抽出</a:t>
          </a:r>
        </a:p>
      </xdr:txBody>
    </xdr:sp>
    <xdr:clientData/>
  </xdr:twoCellAnchor>
  <xdr:twoCellAnchor>
    <xdr:from>
      <xdr:col>20</xdr:col>
      <xdr:colOff>9525</xdr:colOff>
      <xdr:row>19</xdr:row>
      <xdr:rowOff>28575</xdr:rowOff>
    </xdr:from>
    <xdr:to>
      <xdr:col>25</xdr:col>
      <xdr:colOff>142875</xdr:colOff>
      <xdr:row>20</xdr:row>
      <xdr:rowOff>123825</xdr:rowOff>
    </xdr:to>
    <xdr:sp macro="" textlink="">
      <xdr:nvSpPr>
        <xdr:cNvPr id="46" name="テキスト ボックス 2">
          <a:extLst>
            <a:ext uri="{FF2B5EF4-FFF2-40B4-BE49-F238E27FC236}">
              <a16:creationId xmlns:a16="http://schemas.microsoft.com/office/drawing/2014/main" id="{B92FB4CF-8856-43F2-AEAC-802E4F1341C3}"/>
            </a:ext>
          </a:extLst>
        </xdr:cNvPr>
        <xdr:cNvSpPr txBox="1">
          <a:spLocks noChangeArrowheads="1"/>
        </xdr:cNvSpPr>
      </xdr:nvSpPr>
      <xdr:spPr bwMode="auto">
        <a:xfrm>
          <a:off x="3819525" y="3876675"/>
          <a:ext cx="1085850" cy="28575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6350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API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経由でアクセス</a:t>
          </a:r>
        </a:p>
      </xdr:txBody>
    </xdr:sp>
    <xdr:clientData/>
  </xdr:twoCellAnchor>
  <xdr:twoCellAnchor>
    <xdr:from>
      <xdr:col>39</xdr:col>
      <xdr:colOff>161925</xdr:colOff>
      <xdr:row>21</xdr:row>
      <xdr:rowOff>38100</xdr:rowOff>
    </xdr:from>
    <xdr:to>
      <xdr:col>46</xdr:col>
      <xdr:colOff>95250</xdr:colOff>
      <xdr:row>24</xdr:row>
      <xdr:rowOff>123824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C75DC8B7-FD8C-4BC8-B23D-120CDFA5A6A8}"/>
            </a:ext>
          </a:extLst>
        </xdr:cNvPr>
        <xdr:cNvGrpSpPr/>
      </xdr:nvGrpSpPr>
      <xdr:grpSpPr>
        <a:xfrm>
          <a:off x="7886700" y="4267200"/>
          <a:ext cx="1266825" cy="657224"/>
          <a:chOff x="7591425" y="4267200"/>
          <a:chExt cx="1266825" cy="657224"/>
        </a:xfrm>
      </xdr:grpSpPr>
      <xdr:pic>
        <xdr:nvPicPr>
          <xdr:cNvPr id="47" name="図 46">
            <a:extLst>
              <a:ext uri="{FF2B5EF4-FFF2-40B4-BE49-F238E27FC236}">
                <a16:creationId xmlns:a16="http://schemas.microsoft.com/office/drawing/2014/main" id="{0332EF77-BC17-4855-933D-E3D3C38491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981950" y="4267200"/>
            <a:ext cx="361950" cy="361950"/>
          </a:xfrm>
          <a:prstGeom prst="rect">
            <a:avLst/>
          </a:prstGeom>
        </xdr:spPr>
      </xdr:pic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1721F308-2437-466A-A9B3-14427F804A0C}"/>
              </a:ext>
            </a:extLst>
          </xdr:cNvPr>
          <xdr:cNvSpPr txBox="1"/>
        </xdr:nvSpPr>
        <xdr:spPr>
          <a:xfrm>
            <a:off x="7591425" y="4648199"/>
            <a:ext cx="1266825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900">
                <a:latin typeface="メイリオ" panose="020B0604030504040204" pitchFamily="50" charset="-128"/>
                <a:ea typeface="メイリオ" panose="020B0604030504040204" pitchFamily="50" charset="-128"/>
              </a:rPr>
              <a:t>コンテンツ別データ</a:t>
            </a:r>
          </a:p>
        </xdr:txBody>
      </xdr:sp>
    </xdr:grpSp>
    <xdr:clientData/>
  </xdr:twoCellAnchor>
  <xdr:twoCellAnchor>
    <xdr:from>
      <xdr:col>2</xdr:col>
      <xdr:colOff>0</xdr:colOff>
      <xdr:row>3</xdr:row>
      <xdr:rowOff>85725</xdr:rowOff>
    </xdr:from>
    <xdr:to>
      <xdr:col>18</xdr:col>
      <xdr:colOff>171450</xdr:colOff>
      <xdr:row>27</xdr:row>
      <xdr:rowOff>38101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2A251F9C-1FC7-4457-878D-31483A307BD8}"/>
            </a:ext>
          </a:extLst>
        </xdr:cNvPr>
        <xdr:cNvGrpSpPr/>
      </xdr:nvGrpSpPr>
      <xdr:grpSpPr>
        <a:xfrm>
          <a:off x="381000" y="885825"/>
          <a:ext cx="3219450" cy="4524376"/>
          <a:chOff x="381000" y="885825"/>
          <a:chExt cx="3219450" cy="4524376"/>
        </a:xfrm>
      </xdr:grpSpPr>
      <xdr:sp macro="" textlink="">
        <xdr:nvSpPr>
          <xdr:cNvPr id="34" name="角丸四角形 17">
            <a:extLst>
              <a:ext uri="{FF2B5EF4-FFF2-40B4-BE49-F238E27FC236}">
                <a16:creationId xmlns:a16="http://schemas.microsoft.com/office/drawing/2014/main" id="{15819C11-4EE3-46F8-AA30-BDA3F44CA342}"/>
              </a:ext>
            </a:extLst>
          </xdr:cNvPr>
          <xdr:cNvSpPr>
            <a:spLocks noChangeArrowheads="1"/>
          </xdr:cNvSpPr>
        </xdr:nvSpPr>
        <xdr:spPr bwMode="auto">
          <a:xfrm>
            <a:off x="381000" y="885825"/>
            <a:ext cx="3219450" cy="4524376"/>
          </a:xfrm>
          <a:prstGeom prst="roundRect">
            <a:avLst>
              <a:gd name="adj" fmla="val 2139"/>
            </a:avLst>
          </a:prstGeom>
          <a:noFill/>
          <a:ln w="12700">
            <a:solidFill>
              <a:srgbClr val="F4B083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050" b="1" i="0" u="none" strike="noStrike" baseline="0">
                <a:solidFill>
                  <a:srgbClr val="F4B083"/>
                </a:solidFill>
                <a:latin typeface="メイリオ"/>
                <a:ea typeface="メイリオ"/>
              </a:rPr>
              <a:t>顧客</a:t>
            </a:r>
          </a:p>
        </xdr:txBody>
      </xdr:sp>
      <xdr:pic>
        <xdr:nvPicPr>
          <xdr:cNvPr id="49" name="Picture 6" descr="Output">
            <a:extLst>
              <a:ext uri="{FF2B5EF4-FFF2-40B4-BE49-F238E27FC236}">
                <a16:creationId xmlns:a16="http://schemas.microsoft.com/office/drawing/2014/main" id="{1F87C020-56A0-4D00-BB26-6C6223BF6BE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71550" y="21812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1" name="Picture 6" descr="Output">
            <a:extLst>
              <a:ext uri="{FF2B5EF4-FFF2-40B4-BE49-F238E27FC236}">
                <a16:creationId xmlns:a16="http://schemas.microsoft.com/office/drawing/2014/main" id="{ED956F56-467F-4DB9-9B83-ABDD9031754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485900" y="17907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2" name="Picture 6" descr="Output">
            <a:extLst>
              <a:ext uri="{FF2B5EF4-FFF2-40B4-BE49-F238E27FC236}">
                <a16:creationId xmlns:a16="http://schemas.microsoft.com/office/drawing/2014/main" id="{7F21E2FE-D3FA-4400-B9FD-54EB3055539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257300" y="277177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3" name="Picture 6" descr="Output">
            <a:extLst>
              <a:ext uri="{FF2B5EF4-FFF2-40B4-BE49-F238E27FC236}">
                <a16:creationId xmlns:a16="http://schemas.microsoft.com/office/drawing/2014/main" id="{8BEB96B0-E704-4F57-8BE3-777F37E1222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704975" y="239077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4" name="Picture 6" descr="Output">
            <a:extLst>
              <a:ext uri="{FF2B5EF4-FFF2-40B4-BE49-F238E27FC236}">
                <a16:creationId xmlns:a16="http://schemas.microsoft.com/office/drawing/2014/main" id="{0A3CEB64-9859-411B-BAB8-8BDEC632376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27813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9" name="Picture 6" descr="Output">
            <a:extLst>
              <a:ext uri="{FF2B5EF4-FFF2-40B4-BE49-F238E27FC236}">
                <a16:creationId xmlns:a16="http://schemas.microsoft.com/office/drawing/2014/main" id="{1D78084C-460F-43E3-AB63-A3FED2BE823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24000" y="33528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0" name="Picture 6" descr="Output">
            <a:extLst>
              <a:ext uri="{FF2B5EF4-FFF2-40B4-BE49-F238E27FC236}">
                <a16:creationId xmlns:a16="http://schemas.microsoft.com/office/drawing/2014/main" id="{958EC08E-DB64-43DE-BBC8-FFC69E5D270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38200" y="34004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1" name="Picture 6" descr="Output">
            <a:extLst>
              <a:ext uri="{FF2B5EF4-FFF2-40B4-BE49-F238E27FC236}">
                <a16:creationId xmlns:a16="http://schemas.microsoft.com/office/drawing/2014/main" id="{36579B06-0789-42FA-AF72-10105138DA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4375" y="16859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2" name="Picture 6" descr="Output">
            <a:extLst>
              <a:ext uri="{FF2B5EF4-FFF2-40B4-BE49-F238E27FC236}">
                <a16:creationId xmlns:a16="http://schemas.microsoft.com/office/drawing/2014/main" id="{35ED8832-B7E1-449E-A784-DA09CCB2E9E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343025" y="38576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3" name="Picture 6" descr="Output">
            <a:extLst>
              <a:ext uri="{FF2B5EF4-FFF2-40B4-BE49-F238E27FC236}">
                <a16:creationId xmlns:a16="http://schemas.microsoft.com/office/drawing/2014/main" id="{2A50B56B-97BF-4930-B4A6-EA0BECD5EFB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00075" y="398145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21</xdr:col>
      <xdr:colOff>142862</xdr:colOff>
      <xdr:row>7</xdr:row>
      <xdr:rowOff>99151</xdr:rowOff>
    </xdr:from>
    <xdr:to>
      <xdr:col>27</xdr:col>
      <xdr:colOff>167527</xdr:colOff>
      <xdr:row>8</xdr:row>
      <xdr:rowOff>147016</xdr:rowOff>
    </xdr:to>
    <xdr:sp macro="" textlink="">
      <xdr:nvSpPr>
        <xdr:cNvPr id="94" name="右カーブ矢印 9">
          <a:extLst>
            <a:ext uri="{FF2B5EF4-FFF2-40B4-BE49-F238E27FC236}">
              <a16:creationId xmlns:a16="http://schemas.microsoft.com/office/drawing/2014/main" id="{9C21023B-5AE9-4B27-88C8-D55B2D775405}"/>
            </a:ext>
          </a:extLst>
        </xdr:cNvPr>
        <xdr:cNvSpPr/>
      </xdr:nvSpPr>
      <xdr:spPr>
        <a:xfrm rot="4305043">
          <a:off x="4608012" y="1196601"/>
          <a:ext cx="238365" cy="1167665"/>
        </a:xfrm>
        <a:prstGeom prst="curvedRightArrow">
          <a:avLst>
            <a:gd name="adj1" fmla="val 25000"/>
            <a:gd name="adj2" fmla="val 50000"/>
            <a:gd name="adj3" fmla="val 2601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105807</xdr:colOff>
      <xdr:row>13</xdr:row>
      <xdr:rowOff>97427</xdr:rowOff>
    </xdr:from>
    <xdr:to>
      <xdr:col>15</xdr:col>
      <xdr:colOff>82474</xdr:colOff>
      <xdr:row>14</xdr:row>
      <xdr:rowOff>158563</xdr:rowOff>
    </xdr:to>
    <xdr:sp macro="" textlink="">
      <xdr:nvSpPr>
        <xdr:cNvPr id="95" name="右カーブ矢印 44">
          <a:extLst>
            <a:ext uri="{FF2B5EF4-FFF2-40B4-BE49-F238E27FC236}">
              <a16:creationId xmlns:a16="http://schemas.microsoft.com/office/drawing/2014/main" id="{D6BC39B1-00FC-4F2A-913D-3162AE2042EF}"/>
            </a:ext>
          </a:extLst>
        </xdr:cNvPr>
        <xdr:cNvSpPr/>
      </xdr:nvSpPr>
      <xdr:spPr>
        <a:xfrm rot="4305043" flipV="1">
          <a:off x="2254323" y="2368511"/>
          <a:ext cx="251636" cy="1119667"/>
        </a:xfrm>
        <a:prstGeom prst="curvedRightArrow">
          <a:avLst>
            <a:gd name="adj1" fmla="val 25000"/>
            <a:gd name="adj2" fmla="val 50000"/>
            <a:gd name="adj3" fmla="val 2601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152400</xdr:colOff>
      <xdr:row>5</xdr:row>
      <xdr:rowOff>19050</xdr:rowOff>
    </xdr:from>
    <xdr:to>
      <xdr:col>25</xdr:col>
      <xdr:colOff>104775</xdr:colOff>
      <xdr:row>25</xdr:row>
      <xdr:rowOff>171449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2E5F4303-8E2B-45D2-9D5B-DD428B19555E}"/>
            </a:ext>
          </a:extLst>
        </xdr:cNvPr>
        <xdr:cNvGrpSpPr/>
      </xdr:nvGrpSpPr>
      <xdr:grpSpPr>
        <a:xfrm>
          <a:off x="2438400" y="1200150"/>
          <a:ext cx="2428875" cy="3962399"/>
          <a:chOff x="2438400" y="1219200"/>
          <a:chExt cx="2428875" cy="3962399"/>
        </a:xfrm>
      </xdr:grpSpPr>
      <xdr:grpSp>
        <xdr:nvGrpSpPr>
          <xdr:cNvPr id="40" name="グループ化 39">
            <a:extLst>
              <a:ext uri="{FF2B5EF4-FFF2-40B4-BE49-F238E27FC236}">
                <a16:creationId xmlns:a16="http://schemas.microsoft.com/office/drawing/2014/main" id="{F1A23452-5F1A-41C4-80F6-E187918F01E6}"/>
              </a:ext>
            </a:extLst>
          </xdr:cNvPr>
          <xdr:cNvGrpSpPr/>
        </xdr:nvGrpSpPr>
        <xdr:grpSpPr>
          <a:xfrm>
            <a:off x="2438400" y="1219200"/>
            <a:ext cx="2428875" cy="3962399"/>
            <a:chOff x="2314575" y="2009774"/>
            <a:chExt cx="2428875" cy="2905126"/>
          </a:xfrm>
        </xdr:grpSpPr>
        <xdr:sp macro="" textlink="">
          <xdr:nvSpPr>
            <xdr:cNvPr id="41" name="角丸四角形 18">
              <a:extLst>
                <a:ext uri="{FF2B5EF4-FFF2-40B4-BE49-F238E27FC236}">
                  <a16:creationId xmlns:a16="http://schemas.microsoft.com/office/drawing/2014/main" id="{8960DA2A-88BA-442F-871C-706E52332EA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314575" y="2009774"/>
              <a:ext cx="2428875" cy="2905126"/>
            </a:xfrm>
            <a:prstGeom prst="roundRect">
              <a:avLst>
                <a:gd name="adj" fmla="val 2139"/>
              </a:avLst>
            </a:prstGeom>
            <a:solidFill>
              <a:sysClr val="window" lastClr="FFFFFF"/>
            </a:solidFill>
            <a:ln w="12700">
              <a:solidFill>
                <a:schemeClr val="accent6"/>
              </a:solidFill>
              <a:prstDash val="lgDash"/>
              <a:miter lim="800000"/>
              <a:headEnd/>
              <a:tailEnd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>
                <a:defRPr sz="1000"/>
              </a:pPr>
              <a:endParaRPr lang="ja-JP" altLang="en-US" sz="1050" b="1" i="0" u="none" strike="noStrike" baseline="0">
                <a:solidFill>
                  <a:schemeClr val="accent1"/>
                </a:solidFill>
                <a:latin typeface="メイリオ"/>
                <a:ea typeface="メイリオ"/>
              </a:endParaRPr>
            </a:p>
          </xdr:txBody>
        </xdr:sp>
        <xdr:pic>
          <xdr:nvPicPr>
            <xdr:cNvPr id="42" name="図 41">
              <a:extLst>
                <a:ext uri="{FF2B5EF4-FFF2-40B4-BE49-F238E27FC236}">
                  <a16:creationId xmlns:a16="http://schemas.microsoft.com/office/drawing/2014/main" id="{EF6FA142-C25F-4F00-A615-FBC4AE45D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771776" y="2143298"/>
              <a:ext cx="1556193" cy="213026"/>
            </a:xfrm>
            <a:prstGeom prst="rect">
              <a:avLst/>
            </a:prstGeom>
          </xdr:spPr>
        </xdr:pic>
      </xdr:grpSp>
      <xdr:grpSp>
        <xdr:nvGrpSpPr>
          <xdr:cNvPr id="9" name="グループ化 8">
            <a:extLst>
              <a:ext uri="{FF2B5EF4-FFF2-40B4-BE49-F238E27FC236}">
                <a16:creationId xmlns:a16="http://schemas.microsoft.com/office/drawing/2014/main" id="{665B44EA-8495-493D-99E1-BCD8A60277BB}"/>
              </a:ext>
            </a:extLst>
          </xdr:cNvPr>
          <xdr:cNvGrpSpPr/>
        </xdr:nvGrpSpPr>
        <xdr:grpSpPr>
          <a:xfrm>
            <a:off x="2771775" y="4124326"/>
            <a:ext cx="819150" cy="923924"/>
            <a:chOff x="2771775" y="4124326"/>
            <a:chExt cx="819150" cy="923924"/>
          </a:xfrm>
        </xdr:grpSpPr>
        <xdr:pic>
          <xdr:nvPicPr>
            <xdr:cNvPr id="43" name="図 42">
              <a:extLst>
                <a:ext uri="{FF2B5EF4-FFF2-40B4-BE49-F238E27FC236}">
                  <a16:creationId xmlns:a16="http://schemas.microsoft.com/office/drawing/2014/main" id="{17412867-FFA7-40E7-84BE-8E15DB50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828926" y="4124326"/>
              <a:ext cx="628650" cy="628650"/>
            </a:xfrm>
            <a:prstGeom prst="rect">
              <a:avLst/>
            </a:prstGeom>
          </xdr:spPr>
        </xdr:pic>
        <xdr:sp macro="" textlink="">
          <xdr:nvSpPr>
            <xdr:cNvPr id="48" name="テキスト ボックス 2">
              <a:extLst>
                <a:ext uri="{FF2B5EF4-FFF2-40B4-BE49-F238E27FC236}">
                  <a16:creationId xmlns:a16="http://schemas.microsoft.com/office/drawing/2014/main" id="{32810109-D8BA-4C34-8C29-F9890C93372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71775" y="4762500"/>
              <a:ext cx="81915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アドレス帳</a:t>
              </a:r>
            </a:p>
          </xdr:txBody>
        </xdr:sp>
      </xdr:grpSp>
      <xdr:grpSp>
        <xdr:nvGrpSpPr>
          <xdr:cNvPr id="8" name="グループ化 7">
            <a:extLst>
              <a:ext uri="{FF2B5EF4-FFF2-40B4-BE49-F238E27FC236}">
                <a16:creationId xmlns:a16="http://schemas.microsoft.com/office/drawing/2014/main" id="{33F66468-6F12-4E6A-BB61-F9AF2CFCB89F}"/>
              </a:ext>
            </a:extLst>
          </xdr:cNvPr>
          <xdr:cNvGrpSpPr/>
        </xdr:nvGrpSpPr>
        <xdr:grpSpPr>
          <a:xfrm>
            <a:off x="2752725" y="3055176"/>
            <a:ext cx="781050" cy="1002473"/>
            <a:chOff x="2752725" y="3055176"/>
            <a:chExt cx="781050" cy="1002473"/>
          </a:xfrm>
        </xdr:grpSpPr>
        <xdr:pic>
          <xdr:nvPicPr>
            <xdr:cNvPr id="97" name="図 96">
              <a:extLst>
                <a:ext uri="{FF2B5EF4-FFF2-40B4-BE49-F238E27FC236}">
                  <a16:creationId xmlns:a16="http://schemas.microsoft.com/office/drawing/2014/main" id="{59F23175-6924-4A0B-8069-CC25B9CA3C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752725" y="3055176"/>
              <a:ext cx="781050" cy="802449"/>
            </a:xfrm>
            <a:prstGeom prst="rect">
              <a:avLst/>
            </a:prstGeom>
          </xdr:spPr>
        </xdr:pic>
        <xdr:sp macro="" textlink="">
          <xdr:nvSpPr>
            <xdr:cNvPr id="99" name="テキスト ボックス 2">
              <a:extLst>
                <a:ext uri="{FF2B5EF4-FFF2-40B4-BE49-F238E27FC236}">
                  <a16:creationId xmlns:a16="http://schemas.microsoft.com/office/drawing/2014/main" id="{0292E1D6-7969-4867-A886-81467E5B52A6}"/>
                </a:ext>
              </a:extLst>
            </xdr:cNvPr>
            <xdr:cNvSpPr txBox="1">
              <a:spLocks noChangeArrowheads="1"/>
            </xdr:cNvSpPr>
          </xdr:nvSpPr>
          <xdr:spPr bwMode="auto">
            <a:xfrm rot="183512">
              <a:off x="2857500" y="3771899"/>
              <a:ext cx="581025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トーク</a:t>
              </a:r>
            </a:p>
          </xdr:txBody>
        </xdr:sp>
      </xdr:grpSp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73BEA394-688C-4C20-858C-6ED1D41915C0}"/>
              </a:ext>
            </a:extLst>
          </xdr:cNvPr>
          <xdr:cNvGrpSpPr/>
        </xdr:nvGrpSpPr>
        <xdr:grpSpPr>
          <a:xfrm>
            <a:off x="3009900" y="1885950"/>
            <a:ext cx="819150" cy="1028700"/>
            <a:chOff x="3009900" y="1857375"/>
            <a:chExt cx="819150" cy="1028700"/>
          </a:xfrm>
        </xdr:grpSpPr>
        <xdr:pic>
          <xdr:nvPicPr>
            <xdr:cNvPr id="96" name="図 95">
              <a:extLst>
                <a:ext uri="{FF2B5EF4-FFF2-40B4-BE49-F238E27FC236}">
                  <a16:creationId xmlns:a16="http://schemas.microsoft.com/office/drawing/2014/main" id="{FE554DB2-45D0-4684-97A4-32DB7EFB84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019425" y="1857375"/>
              <a:ext cx="742949" cy="742949"/>
            </a:xfrm>
            <a:prstGeom prst="rect">
              <a:avLst/>
            </a:prstGeom>
          </xdr:spPr>
        </xdr:pic>
        <xdr:sp macro="" textlink="">
          <xdr:nvSpPr>
            <xdr:cNvPr id="100" name="テキスト ボックス 2">
              <a:extLst>
                <a:ext uri="{FF2B5EF4-FFF2-40B4-BE49-F238E27FC236}">
                  <a16:creationId xmlns:a16="http://schemas.microsoft.com/office/drawing/2014/main" id="{9E0EC42B-6E20-4F5B-B359-D3FE685B5D7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009900" y="2600325"/>
              <a:ext cx="81915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カレンダー</a:t>
              </a:r>
            </a:p>
          </xdr:txBody>
        </xdr:sp>
      </xdr:grpSp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6A709B2D-0D7B-49C5-8EE8-64ED8F97CAC8}"/>
              </a:ext>
            </a:extLst>
          </xdr:cNvPr>
          <xdr:cNvGrpSpPr/>
        </xdr:nvGrpSpPr>
        <xdr:grpSpPr>
          <a:xfrm>
            <a:off x="3857625" y="2076450"/>
            <a:ext cx="895350" cy="1038225"/>
            <a:chOff x="3857625" y="2076450"/>
            <a:chExt cx="895350" cy="1038225"/>
          </a:xfrm>
        </xdr:grpSpPr>
        <xdr:pic>
          <xdr:nvPicPr>
            <xdr:cNvPr id="98" name="図 97">
              <a:extLst>
                <a:ext uri="{FF2B5EF4-FFF2-40B4-BE49-F238E27FC236}">
                  <a16:creationId xmlns:a16="http://schemas.microsoft.com/office/drawing/2014/main" id="{D4566046-8ECC-4559-BEBF-D5D4A8CA7B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857625" y="2076450"/>
              <a:ext cx="895350" cy="895350"/>
            </a:xfrm>
            <a:prstGeom prst="rect">
              <a:avLst/>
            </a:prstGeom>
          </xdr:spPr>
        </xdr:pic>
        <xdr:sp macro="" textlink="">
          <xdr:nvSpPr>
            <xdr:cNvPr id="101" name="テキスト ボックス 2">
              <a:extLst>
                <a:ext uri="{FF2B5EF4-FFF2-40B4-BE49-F238E27FC236}">
                  <a16:creationId xmlns:a16="http://schemas.microsoft.com/office/drawing/2014/main" id="{E7F4EF2E-61C0-46E9-BEE4-CE770E1F0C6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00500" y="2828925"/>
              <a:ext cx="64770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タスク</a:t>
              </a:r>
            </a:p>
          </xdr:txBody>
        </xdr:sp>
      </xdr:grpSp>
    </xdr:grpSp>
    <xdr:clientData/>
  </xdr:twoCellAnchor>
  <xdr:twoCellAnchor>
    <xdr:from>
      <xdr:col>18</xdr:col>
      <xdr:colOff>95251</xdr:colOff>
      <xdr:row>20</xdr:row>
      <xdr:rowOff>123825</xdr:rowOff>
    </xdr:from>
    <xdr:to>
      <xdr:col>20</xdr:col>
      <xdr:colOff>95251</xdr:colOff>
      <xdr:row>22</xdr:row>
      <xdr:rowOff>9525</xdr:rowOff>
    </xdr:to>
    <xdr:sp macro="" textlink="">
      <xdr:nvSpPr>
        <xdr:cNvPr id="102" name="四角形吹き出し 14">
          <a:extLst>
            <a:ext uri="{FF2B5EF4-FFF2-40B4-BE49-F238E27FC236}">
              <a16:creationId xmlns:a16="http://schemas.microsoft.com/office/drawing/2014/main" id="{CDB1CACC-D2B3-4AB2-B553-3A033D5C643A}"/>
            </a:ext>
          </a:extLst>
        </xdr:cNvPr>
        <xdr:cNvSpPr/>
      </xdr:nvSpPr>
      <xdr:spPr>
        <a:xfrm>
          <a:off x="3524251" y="4162425"/>
          <a:ext cx="381000" cy="266700"/>
        </a:xfrm>
        <a:prstGeom prst="wedgeRectCallout">
          <a:avLst>
            <a:gd name="adj1" fmla="val -82540"/>
            <a:gd name="adj2" fmla="val 47643"/>
          </a:avLst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 b="1"/>
            <a:t>API</a:t>
          </a:r>
          <a:endParaRPr kumimoji="1" lang="ja-JP" altLang="en-US" sz="1100" b="1"/>
        </a:p>
      </xdr:txBody>
    </xdr:sp>
    <xdr:clientData/>
  </xdr:twoCellAnchor>
  <xdr:twoCellAnchor>
    <xdr:from>
      <xdr:col>18</xdr:col>
      <xdr:colOff>104776</xdr:colOff>
      <xdr:row>17</xdr:row>
      <xdr:rowOff>142875</xdr:rowOff>
    </xdr:from>
    <xdr:to>
      <xdr:col>20</xdr:col>
      <xdr:colOff>104776</xdr:colOff>
      <xdr:row>19</xdr:row>
      <xdr:rowOff>28575</xdr:rowOff>
    </xdr:to>
    <xdr:sp macro="" textlink="">
      <xdr:nvSpPr>
        <xdr:cNvPr id="103" name="四角形吹き出し 47">
          <a:extLst>
            <a:ext uri="{FF2B5EF4-FFF2-40B4-BE49-F238E27FC236}">
              <a16:creationId xmlns:a16="http://schemas.microsoft.com/office/drawing/2014/main" id="{7B8851CA-D6E6-41DB-8BB5-BD41949DD50D}"/>
            </a:ext>
          </a:extLst>
        </xdr:cNvPr>
        <xdr:cNvSpPr/>
      </xdr:nvSpPr>
      <xdr:spPr>
        <a:xfrm>
          <a:off x="3533776" y="3609975"/>
          <a:ext cx="381000" cy="266700"/>
        </a:xfrm>
        <a:prstGeom prst="wedgeRectCallout">
          <a:avLst>
            <a:gd name="adj1" fmla="val -87540"/>
            <a:gd name="adj2" fmla="val -70213"/>
          </a:avLst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 b="1"/>
            <a:t>API</a:t>
          </a:r>
          <a:endParaRPr kumimoji="1" lang="ja-JP" altLang="en-US" sz="1100" b="1"/>
        </a:p>
      </xdr:txBody>
    </xdr:sp>
    <xdr:clientData/>
  </xdr:twoCellAnchor>
  <xdr:twoCellAnchor>
    <xdr:from>
      <xdr:col>20</xdr:col>
      <xdr:colOff>95252</xdr:colOff>
      <xdr:row>20</xdr:row>
      <xdr:rowOff>38099</xdr:rowOff>
    </xdr:from>
    <xdr:to>
      <xdr:col>31</xdr:col>
      <xdr:colOff>171451</xdr:colOff>
      <xdr:row>21</xdr:row>
      <xdr:rowOff>66674</xdr:rowOff>
    </xdr:to>
    <xdr:cxnSp macro="">
      <xdr:nvCxnSpPr>
        <xdr:cNvPr id="104" name="カギ線コネクタ 15">
          <a:extLst>
            <a:ext uri="{FF2B5EF4-FFF2-40B4-BE49-F238E27FC236}">
              <a16:creationId xmlns:a16="http://schemas.microsoft.com/office/drawing/2014/main" id="{F3F3A877-40C2-4F7C-98E9-6EF5722326C8}"/>
            </a:ext>
          </a:extLst>
        </xdr:cNvPr>
        <xdr:cNvCxnSpPr>
          <a:cxnSpLocks/>
          <a:endCxn id="102" idx="3"/>
        </xdr:cNvCxnSpPr>
      </xdr:nvCxnSpPr>
      <xdr:spPr>
        <a:xfrm rot="10800000" flipV="1">
          <a:off x="3905252" y="4076699"/>
          <a:ext cx="2171699" cy="219075"/>
        </a:xfrm>
        <a:prstGeom prst="bentConnector3">
          <a:avLst/>
        </a:prstGeom>
        <a:ln w="38100">
          <a:solidFill>
            <a:srgbClr val="FF0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104776</xdr:colOff>
      <xdr:row>18</xdr:row>
      <xdr:rowOff>85726</xdr:rowOff>
    </xdr:from>
    <xdr:to>
      <xdr:col>31</xdr:col>
      <xdr:colOff>171450</xdr:colOff>
      <xdr:row>20</xdr:row>
      <xdr:rowOff>38101</xdr:rowOff>
    </xdr:to>
    <xdr:cxnSp macro="">
      <xdr:nvCxnSpPr>
        <xdr:cNvPr id="105" name="カギ線コネクタ 55">
          <a:extLst>
            <a:ext uri="{FF2B5EF4-FFF2-40B4-BE49-F238E27FC236}">
              <a16:creationId xmlns:a16="http://schemas.microsoft.com/office/drawing/2014/main" id="{986FE243-3843-4DBD-8C99-E2DC41992226}"/>
            </a:ext>
          </a:extLst>
        </xdr:cNvPr>
        <xdr:cNvCxnSpPr>
          <a:cxnSpLocks/>
          <a:endCxn id="103" idx="3"/>
        </xdr:cNvCxnSpPr>
      </xdr:nvCxnSpPr>
      <xdr:spPr>
        <a:xfrm rot="10800000">
          <a:off x="3914776" y="3743326"/>
          <a:ext cx="2162174" cy="333375"/>
        </a:xfrm>
        <a:prstGeom prst="bentConnector3">
          <a:avLst/>
        </a:prstGeom>
        <a:ln w="38100">
          <a:solidFill>
            <a:srgbClr val="FF0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114299</xdr:colOff>
      <xdr:row>16</xdr:row>
      <xdr:rowOff>123825</xdr:rowOff>
    </xdr:from>
    <xdr:to>
      <xdr:col>30</xdr:col>
      <xdr:colOff>47624</xdr:colOff>
      <xdr:row>17</xdr:row>
      <xdr:rowOff>57150</xdr:rowOff>
    </xdr:to>
    <xdr:sp macro="" textlink="">
      <xdr:nvSpPr>
        <xdr:cNvPr id="106" name="右矢印 62">
          <a:extLst>
            <a:ext uri="{FF2B5EF4-FFF2-40B4-BE49-F238E27FC236}">
              <a16:creationId xmlns:a16="http://schemas.microsoft.com/office/drawing/2014/main" id="{7018615F-0A30-4939-8C25-54663CD82EC1}"/>
            </a:ext>
          </a:extLst>
        </xdr:cNvPr>
        <xdr:cNvSpPr/>
      </xdr:nvSpPr>
      <xdr:spPr bwMode="auto">
        <a:xfrm>
          <a:off x="3924299" y="3400425"/>
          <a:ext cx="1838325" cy="123825"/>
        </a:xfrm>
        <a:prstGeom prst="rightArrow">
          <a:avLst/>
        </a:prstGeom>
        <a:solidFill>
          <a:srgbClr val="FF0000"/>
        </a:solidFill>
        <a:ln w="9525" cap="flat" cmpd="sng" algn="ctr">
          <a:noFill/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/>
        <a:p>
          <a:endParaRPr lang="ja-JP" altLang="en-US"/>
        </a:p>
      </xdr:txBody>
    </xdr:sp>
    <xdr:clientData/>
  </xdr:twoCellAnchor>
  <xdr:twoCellAnchor>
    <xdr:from>
      <xdr:col>19</xdr:col>
      <xdr:colOff>190499</xdr:colOff>
      <xdr:row>15</xdr:row>
      <xdr:rowOff>57149</xdr:rowOff>
    </xdr:from>
    <xdr:to>
      <xdr:col>31</xdr:col>
      <xdr:colOff>38100</xdr:colOff>
      <xdr:row>16</xdr:row>
      <xdr:rowOff>133351</xdr:rowOff>
    </xdr:to>
    <xdr:sp macro="" textlink="">
      <xdr:nvSpPr>
        <xdr:cNvPr id="107" name="テキスト ボックス 1">
          <a:extLst>
            <a:ext uri="{FF2B5EF4-FFF2-40B4-BE49-F238E27FC236}">
              <a16:creationId xmlns:a16="http://schemas.microsoft.com/office/drawing/2014/main" id="{D6DDA2CE-7627-4F3B-AE4A-298F2711E872}"/>
            </a:ext>
          </a:extLst>
        </xdr:cNvPr>
        <xdr:cNvSpPr txBox="1">
          <a:spLocks noChangeArrowheads="1"/>
        </xdr:cNvSpPr>
      </xdr:nvSpPr>
      <xdr:spPr bwMode="auto">
        <a:xfrm>
          <a:off x="3809999" y="3143249"/>
          <a:ext cx="2133601" cy="26670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監査データを</a:t>
          </a: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DL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し、社外トーク数を抽出</a:t>
          </a:r>
        </a:p>
      </xdr:txBody>
    </xdr:sp>
    <xdr:clientData/>
  </xdr:twoCellAnchor>
  <xdr:twoCellAnchor>
    <xdr:from>
      <xdr:col>39</xdr:col>
      <xdr:colOff>161925</xdr:colOff>
      <xdr:row>17</xdr:row>
      <xdr:rowOff>76200</xdr:rowOff>
    </xdr:from>
    <xdr:to>
      <xdr:col>45</xdr:col>
      <xdr:colOff>171450</xdr:colOff>
      <xdr:row>20</xdr:row>
      <xdr:rowOff>171449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DA09D5A-9392-45CC-967B-786008A9A222}"/>
            </a:ext>
          </a:extLst>
        </xdr:cNvPr>
        <xdr:cNvGrpSpPr/>
      </xdr:nvGrpSpPr>
      <xdr:grpSpPr>
        <a:xfrm>
          <a:off x="7886700" y="3543300"/>
          <a:ext cx="1152525" cy="666749"/>
          <a:chOff x="7591425" y="3543300"/>
          <a:chExt cx="1152525" cy="666749"/>
        </a:xfrm>
      </xdr:grpSpPr>
      <xdr:pic>
        <xdr:nvPicPr>
          <xdr:cNvPr id="108" name="図 107">
            <a:extLst>
              <a:ext uri="{FF2B5EF4-FFF2-40B4-BE49-F238E27FC236}">
                <a16:creationId xmlns:a16="http://schemas.microsoft.com/office/drawing/2014/main" id="{F16A5397-B155-4E2A-AF71-904FC3CFB8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981950" y="3543300"/>
            <a:ext cx="361950" cy="361950"/>
          </a:xfrm>
          <a:prstGeom prst="rect">
            <a:avLst/>
          </a:prstGeom>
        </xdr:spPr>
      </xdr:pic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8261D381-58ED-4650-A02E-BD7E07C72F63}"/>
              </a:ext>
            </a:extLst>
          </xdr:cNvPr>
          <xdr:cNvSpPr txBox="1"/>
        </xdr:nvSpPr>
        <xdr:spPr>
          <a:xfrm>
            <a:off x="7591425" y="3933824"/>
            <a:ext cx="1152525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900">
                <a:latin typeface="メイリオ" panose="020B0604030504040204" pitchFamily="50" charset="-128"/>
                <a:ea typeface="メイリオ" panose="020B0604030504040204" pitchFamily="50" charset="-128"/>
              </a:rPr>
              <a:t>アカウントデータ</a:t>
            </a:r>
          </a:p>
        </xdr:txBody>
      </xdr:sp>
    </xdr:grpSp>
    <xdr:clientData/>
  </xdr:twoCellAnchor>
  <xdr:twoCellAnchor>
    <xdr:from>
      <xdr:col>35</xdr:col>
      <xdr:colOff>152400</xdr:colOff>
      <xdr:row>18</xdr:row>
      <xdr:rowOff>66675</xdr:rowOff>
    </xdr:from>
    <xdr:to>
      <xdr:col>41</xdr:col>
      <xdr:colOff>171450</xdr:colOff>
      <xdr:row>20</xdr:row>
      <xdr:rowOff>38100</xdr:rowOff>
    </xdr:to>
    <xdr:cxnSp macro="">
      <xdr:nvCxnSpPr>
        <xdr:cNvPr id="110" name="カギ線コネクタ 7">
          <a:extLst>
            <a:ext uri="{FF2B5EF4-FFF2-40B4-BE49-F238E27FC236}">
              <a16:creationId xmlns:a16="http://schemas.microsoft.com/office/drawing/2014/main" id="{FED876CE-6EFC-4069-976B-CEDEF02695F1}"/>
            </a:ext>
          </a:extLst>
        </xdr:cNvPr>
        <xdr:cNvCxnSpPr>
          <a:cxnSpLocks/>
          <a:endCxn id="108" idx="1"/>
        </xdr:cNvCxnSpPr>
      </xdr:nvCxnSpPr>
      <xdr:spPr>
        <a:xfrm flipV="1">
          <a:off x="6819900" y="3724275"/>
          <a:ext cx="1162050" cy="352425"/>
        </a:xfrm>
        <a:prstGeom prst="bentConnector3">
          <a:avLst>
            <a:gd name="adj1" fmla="val 50000"/>
          </a:avLst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20</xdr:row>
      <xdr:rowOff>38100</xdr:rowOff>
    </xdr:from>
    <xdr:to>
      <xdr:col>41</xdr:col>
      <xdr:colOff>171450</xdr:colOff>
      <xdr:row>22</xdr:row>
      <xdr:rowOff>28575</xdr:rowOff>
    </xdr:to>
    <xdr:cxnSp macro="">
      <xdr:nvCxnSpPr>
        <xdr:cNvPr id="111" name="カギ線コネクタ 64">
          <a:extLst>
            <a:ext uri="{FF2B5EF4-FFF2-40B4-BE49-F238E27FC236}">
              <a16:creationId xmlns:a16="http://schemas.microsoft.com/office/drawing/2014/main" id="{DFCE9E6B-2FA8-476C-99C8-A11377E7E082}"/>
            </a:ext>
          </a:extLst>
        </xdr:cNvPr>
        <xdr:cNvCxnSpPr>
          <a:cxnSpLocks/>
          <a:endCxn id="47" idx="1"/>
        </xdr:cNvCxnSpPr>
      </xdr:nvCxnSpPr>
      <xdr:spPr>
        <a:xfrm>
          <a:off x="6819900" y="4076700"/>
          <a:ext cx="1162050" cy="371475"/>
        </a:xfrm>
        <a:prstGeom prst="bentConnector3">
          <a:avLst>
            <a:gd name="adj1" fmla="val 50000"/>
          </a:avLst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38100</xdr:colOff>
      <xdr:row>22</xdr:row>
      <xdr:rowOff>76199</xdr:rowOff>
    </xdr:from>
    <xdr:to>
      <xdr:col>40</xdr:col>
      <xdr:colOff>104776</xdr:colOff>
      <xdr:row>23</xdr:row>
      <xdr:rowOff>171451</xdr:rowOff>
    </xdr:to>
    <xdr:sp macro="" textlink="">
      <xdr:nvSpPr>
        <xdr:cNvPr id="112" name="テキスト ボックス 1">
          <a:extLst>
            <a:ext uri="{FF2B5EF4-FFF2-40B4-BE49-F238E27FC236}">
              <a16:creationId xmlns:a16="http://schemas.microsoft.com/office/drawing/2014/main" id="{51BE3DD8-E925-43B1-96D6-3FF65FDCA602}"/>
            </a:ext>
          </a:extLst>
        </xdr:cNvPr>
        <xdr:cNvSpPr txBox="1">
          <a:spLocks noChangeArrowheads="1"/>
        </xdr:cNvSpPr>
      </xdr:nvSpPr>
      <xdr:spPr bwMode="auto">
        <a:xfrm>
          <a:off x="6896100" y="4495799"/>
          <a:ext cx="828676" cy="28575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Excel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で出力</a:t>
          </a:r>
        </a:p>
      </xdr:txBody>
    </xdr:sp>
    <xdr:clientData/>
  </xdr:twoCellAnchor>
  <xdr:twoCellAnchor>
    <xdr:from>
      <xdr:col>31</xdr:col>
      <xdr:colOff>28576</xdr:colOff>
      <xdr:row>17</xdr:row>
      <xdr:rowOff>180975</xdr:rowOff>
    </xdr:from>
    <xdr:to>
      <xdr:col>35</xdr:col>
      <xdr:colOff>28575</xdr:colOff>
      <xdr:row>24</xdr:row>
      <xdr:rowOff>9658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7569E9E9-BB12-7036-8658-C1BC55A956A1}"/>
            </a:ext>
          </a:extLst>
        </xdr:cNvPr>
        <xdr:cNvGrpSpPr/>
      </xdr:nvGrpSpPr>
      <xdr:grpSpPr>
        <a:xfrm>
          <a:off x="5934076" y="3648075"/>
          <a:ext cx="1057274" cy="1162183"/>
          <a:chOff x="5934076" y="3648075"/>
          <a:chExt cx="1057274" cy="1162183"/>
        </a:xfrm>
      </xdr:grpSpPr>
      <xdr:pic>
        <xdr:nvPicPr>
          <xdr:cNvPr id="13" name="図 12">
            <a:extLst>
              <a:ext uri="{FF2B5EF4-FFF2-40B4-BE49-F238E27FC236}">
                <a16:creationId xmlns:a16="http://schemas.microsoft.com/office/drawing/2014/main" id="{689DACAD-8AEF-FC0C-417D-0576FD91C1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34076" y="4429258"/>
            <a:ext cx="406400" cy="381000"/>
          </a:xfrm>
          <a:prstGeom prst="rect">
            <a:avLst/>
          </a:prstGeom>
        </xdr:spPr>
      </xdr:pic>
      <xdr:pic>
        <xdr:nvPicPr>
          <xdr:cNvPr id="5" name="図 4">
            <a:extLst>
              <a:ext uri="{FF2B5EF4-FFF2-40B4-BE49-F238E27FC236}">
                <a16:creationId xmlns:a16="http://schemas.microsoft.com/office/drawing/2014/main" id="{49E28D43-2586-4609-89C0-5C19AD5A50B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048375" y="3752851"/>
            <a:ext cx="738671" cy="704850"/>
          </a:xfrm>
          <a:prstGeom prst="rect">
            <a:avLst/>
          </a:prstGeom>
        </xdr:spPr>
      </xdr:pic>
      <xdr:pic>
        <xdr:nvPicPr>
          <xdr:cNvPr id="35" name="図 32">
            <a:extLst>
              <a:ext uri="{FF2B5EF4-FFF2-40B4-BE49-F238E27FC236}">
                <a16:creationId xmlns:a16="http://schemas.microsoft.com/office/drawing/2014/main" id="{0587DE7D-7AE1-459C-B250-328A5128D5D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3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353175" y="3648075"/>
            <a:ext cx="638175" cy="3810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26</xdr:col>
      <xdr:colOff>66675</xdr:colOff>
      <xdr:row>13</xdr:row>
      <xdr:rowOff>142875</xdr:rowOff>
    </xdr:from>
    <xdr:to>
      <xdr:col>40</xdr:col>
      <xdr:colOff>66675</xdr:colOff>
      <xdr:row>25</xdr:row>
      <xdr:rowOff>38100</xdr:rowOff>
    </xdr:to>
    <xdr:sp macro="" textlink="">
      <xdr:nvSpPr>
        <xdr:cNvPr id="31" name="楕円 925">
          <a:extLst>
            <a:ext uri="{FF2B5EF4-FFF2-40B4-BE49-F238E27FC236}">
              <a16:creationId xmlns:a16="http://schemas.microsoft.com/office/drawing/2014/main" id="{51670296-9E15-44E9-8FB2-657029983AFE}"/>
            </a:ext>
          </a:extLst>
        </xdr:cNvPr>
        <xdr:cNvSpPr>
          <a:spLocks noChangeArrowheads="1"/>
        </xdr:cNvSpPr>
      </xdr:nvSpPr>
      <xdr:spPr bwMode="auto">
        <a:xfrm>
          <a:off x="5019675" y="2847975"/>
          <a:ext cx="2962275" cy="2181225"/>
        </a:xfrm>
        <a:prstGeom prst="ellipse">
          <a:avLst/>
        </a:prstGeom>
        <a:solidFill>
          <a:srgbClr val="C5E0B4">
            <a:alpha val="30196"/>
          </a:srgbClr>
        </a:solidFill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ctr" rtl="0"/>
          <a:r>
            <a:rPr lang="en-US" altLang="ja-JP" sz="1000" b="1" i="0" baseline="0">
              <a:solidFill>
                <a:schemeClr val="accent6">
                  <a:lumMod val="75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LINE WORKS </a:t>
          </a:r>
          <a:endParaRPr lang="ja-JP" altLang="ja-JP" sz="700">
            <a:solidFill>
              <a:schemeClr val="accent6">
                <a:lumMod val="75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 rtl="0"/>
          <a:r>
            <a:rPr lang="ja-JP" altLang="ja-JP" sz="1000" b="1" i="0" baseline="0">
              <a:solidFill>
                <a:schemeClr val="accent6">
                  <a:lumMod val="75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アカウントデータ抽出ツール </a:t>
          </a:r>
          <a:endParaRPr lang="ja-JP" altLang="ja-JP" sz="700">
            <a:solidFill>
              <a:schemeClr val="accent6">
                <a:lumMod val="75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defRPr sz="1000"/>
          </a:pPr>
          <a:endParaRPr lang="ja-JP" altLang="en-US" sz="900" b="1" i="0" u="none" strike="noStrike" baseline="0">
            <a:solidFill>
              <a:srgbClr val="FF0000"/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32</xdr:col>
      <xdr:colOff>89951</xdr:colOff>
      <xdr:row>20</xdr:row>
      <xdr:rowOff>175676</xdr:rowOff>
    </xdr:from>
    <xdr:to>
      <xdr:col>34</xdr:col>
      <xdr:colOff>159641</xdr:colOff>
      <xdr:row>23</xdr:row>
      <xdr:rowOff>54866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CA9B5012-49DA-40FA-9F3F-A22A186FF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1226" y="4214276"/>
          <a:ext cx="450690" cy="4506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43</xdr:col>
      <xdr:colOff>161925</xdr:colOff>
      <xdr:row>4</xdr:row>
      <xdr:rowOff>155877</xdr:rowOff>
    </xdr:to>
    <xdr:sp macro="" textlink="">
      <xdr:nvSpPr>
        <xdr:cNvPr id="3" name="テキスト ボックス 5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476250" y="742950"/>
          <a:ext cx="9925050" cy="34637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>
              <a:latin typeface="Meiryo UI" panose="020B0604030504040204" pitchFamily="50" charset="-128"/>
              <a:ea typeface="Meiryo UI" panose="020B0604030504040204" pitchFamily="50" charset="-128"/>
            </a:rPr>
            <a:t>契約業務全般</a:t>
          </a:r>
        </a:p>
      </xdr:txBody>
    </xdr:sp>
    <xdr:clientData/>
  </xdr:twoCellAnchor>
  <xdr:twoCellAnchor>
    <xdr:from>
      <xdr:col>34</xdr:col>
      <xdr:colOff>162231</xdr:colOff>
      <xdr:row>33</xdr:row>
      <xdr:rowOff>78611</xdr:rowOff>
    </xdr:from>
    <xdr:to>
      <xdr:col>40</xdr:col>
      <xdr:colOff>210926</xdr:colOff>
      <xdr:row>37</xdr:row>
      <xdr:rowOff>157249</xdr:rowOff>
    </xdr:to>
    <xdr:sp macro="" textlink="">
      <xdr:nvSpPr>
        <xdr:cNvPr id="51" name="線吹き出し 2 (枠付き)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 bwMode="auto">
        <a:xfrm>
          <a:off x="8258481" y="6479411"/>
          <a:ext cx="1477445" cy="840638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-18549"/>
            <a:gd name="adj6" fmla="val -5512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r>
            <a:rPr lang="ja-JP" altLang="en-US" sz="900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今回のスコープ</a:t>
          </a:r>
          <a:endParaRPr kumimoji="1" lang="ja-JP" altLang="en-US" sz="900">
            <a:solidFill>
              <a:srgbClr val="FF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123825</xdr:colOff>
      <xdr:row>8</xdr:row>
      <xdr:rowOff>44435</xdr:rowOff>
    </xdr:from>
    <xdr:to>
      <xdr:col>6</xdr:col>
      <xdr:colOff>171367</xdr:colOff>
      <xdr:row>16</xdr:row>
      <xdr:rowOff>105030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/>
      </xdr:nvSpPr>
      <xdr:spPr bwMode="auto">
        <a:xfrm>
          <a:off x="600075" y="1682735"/>
          <a:ext cx="1000042" cy="1584595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契約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管理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123826</xdr:colOff>
      <xdr:row>17</xdr:row>
      <xdr:rowOff>166975</xdr:rowOff>
    </xdr:from>
    <xdr:to>
      <xdr:col>4</xdr:col>
      <xdr:colOff>128636</xdr:colOff>
      <xdr:row>31</xdr:row>
      <xdr:rowOff>139009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 bwMode="auto">
        <a:xfrm>
          <a:off x="600076" y="3519775"/>
          <a:ext cx="481060" cy="2639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管理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166557</xdr:colOff>
      <xdr:row>25</xdr:row>
      <xdr:rowOff>14583</xdr:rowOff>
    </xdr:from>
    <xdr:to>
      <xdr:col>6</xdr:col>
      <xdr:colOff>171367</xdr:colOff>
      <xdr:row>31</xdr:row>
      <xdr:rowOff>159617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/>
      </xdr:nvSpPr>
      <xdr:spPr bwMode="auto">
        <a:xfrm>
          <a:off x="1119057" y="4891383"/>
          <a:ext cx="481060" cy="1288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年度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設定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166557</xdr:colOff>
      <xdr:row>17</xdr:row>
      <xdr:rowOff>168547</xdr:rowOff>
    </xdr:from>
    <xdr:to>
      <xdr:col>6</xdr:col>
      <xdr:colOff>171367</xdr:colOff>
      <xdr:row>24</xdr:row>
      <xdr:rowOff>123081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 bwMode="auto">
        <a:xfrm>
          <a:off x="1119057" y="3521347"/>
          <a:ext cx="481060" cy="1288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期中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設定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25</xdr:row>
      <xdr:rowOff>14583</xdr:rowOff>
    </xdr:from>
    <xdr:to>
      <xdr:col>11</xdr:col>
      <xdr:colOff>177371</xdr:colOff>
      <xdr:row>31</xdr:row>
      <xdr:rowOff>159617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 bwMode="auto">
        <a:xfrm>
          <a:off x="1703946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年度査定結果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（査定表）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17</xdr:row>
      <xdr:rowOff>165611</xdr:rowOff>
    </xdr:from>
    <xdr:to>
      <xdr:col>11</xdr:col>
      <xdr:colOff>177371</xdr:colOff>
      <xdr:row>24</xdr:row>
      <xdr:rowOff>120145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 bwMode="auto">
        <a:xfrm>
          <a:off x="1703946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横断会決議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・商品（追加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変更）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・個社案件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（新規契約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契約変更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契約終了）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8</xdr:row>
      <xdr:rowOff>44435</xdr:rowOff>
    </xdr:from>
    <xdr:to>
      <xdr:col>11</xdr:col>
      <xdr:colOff>177371</xdr:colOff>
      <xdr:row>16</xdr:row>
      <xdr:rowOff>105030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 bwMode="auto">
        <a:xfrm>
          <a:off x="1703946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横断会決議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・商品（追加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変更）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・制度変更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・個社案件（新規契約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契約変更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契約終了）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6</xdr:row>
      <xdr:rowOff>46737</xdr:rowOff>
    </xdr:from>
    <xdr:to>
      <xdr:col>11</xdr:col>
      <xdr:colOff>177371</xdr:colOff>
      <xdr:row>7</xdr:row>
      <xdr:rowOff>174905</xdr:rowOff>
    </xdr:to>
    <xdr:sp macro="" textlink="">
      <xdr:nvSpPr>
        <xdr:cNvPr id="60" name="Rectangle 307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rrowheads="1"/>
        </xdr:cNvSpPr>
      </xdr:nvSpPr>
      <xdr:spPr bwMode="gray">
        <a:xfrm>
          <a:off x="1703946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起点となる事項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12</xdr:col>
      <xdr:colOff>43074</xdr:colOff>
      <xdr:row>25</xdr:row>
      <xdr:rowOff>14583</xdr:rowOff>
    </xdr:from>
    <xdr:to>
      <xdr:col>16</xdr:col>
      <xdr:colOff>183374</xdr:colOff>
      <xdr:row>31</xdr:row>
      <xdr:rowOff>159617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 bwMode="auto">
        <a:xfrm>
          <a:off x="2900574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・手数料インセンティブ一覧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・パートナー情報マスタ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17</xdr:row>
      <xdr:rowOff>165611</xdr:rowOff>
    </xdr:from>
    <xdr:to>
      <xdr:col>16</xdr:col>
      <xdr:colOff>183374</xdr:colOff>
      <xdr:row>24</xdr:row>
      <xdr:rowOff>120145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 bwMode="auto">
        <a:xfrm>
          <a:off x="2900574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・手数料インセンティブ一覧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・パートナー情報マスタ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（運用がちゃんとしていないが、このマスタがキーとなっている？）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8</xdr:row>
      <xdr:rowOff>44435</xdr:rowOff>
    </xdr:from>
    <xdr:to>
      <xdr:col>16</xdr:col>
      <xdr:colOff>183374</xdr:colOff>
      <xdr:row>16</xdr:row>
      <xdr:rowOff>105030</xdr:rowOff>
    </xdr:to>
    <xdr:sp macro="" textlink="">
      <xdr:nvSpPr>
        <xdr:cNvPr id="63" name="正方形/長方形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 bwMode="auto">
        <a:xfrm>
          <a:off x="2900574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※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現状無し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(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毎年作り変え</a:t>
          </a: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)</a:t>
          </a: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★各社契約管理リストを作りたい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6</xdr:row>
      <xdr:rowOff>46737</xdr:rowOff>
    </xdr:from>
    <xdr:to>
      <xdr:col>16</xdr:col>
      <xdr:colOff>183374</xdr:colOff>
      <xdr:row>7</xdr:row>
      <xdr:rowOff>174905</xdr:rowOff>
    </xdr:to>
    <xdr:sp macro="" textlink="">
      <xdr:nvSpPr>
        <xdr:cNvPr id="64" name="Rectangle 307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rrowheads="1"/>
        </xdr:cNvSpPr>
      </xdr:nvSpPr>
      <xdr:spPr bwMode="gray">
        <a:xfrm>
          <a:off x="2900574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管理マスタ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21</xdr:col>
      <xdr:colOff>192211</xdr:colOff>
      <xdr:row>6</xdr:row>
      <xdr:rowOff>46737</xdr:rowOff>
    </xdr:from>
    <xdr:to>
      <xdr:col>43</xdr:col>
      <xdr:colOff>117565</xdr:colOff>
      <xdr:row>7</xdr:row>
      <xdr:rowOff>174905</xdr:rowOff>
    </xdr:to>
    <xdr:sp macro="" textlink="">
      <xdr:nvSpPr>
        <xdr:cNvPr id="65" name="Rectangle 307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rrowheads="1"/>
        </xdr:cNvSpPr>
      </xdr:nvSpPr>
      <xdr:spPr bwMode="gray">
        <a:xfrm>
          <a:off x="5192836" y="1304037"/>
          <a:ext cx="5164104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業務フロー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22</xdr:col>
      <xdr:colOff>21111</xdr:colOff>
      <xdr:row>8</xdr:row>
      <xdr:rowOff>105032</xdr:rowOff>
    </xdr:from>
    <xdr:to>
      <xdr:col>27</xdr:col>
      <xdr:colOff>8497</xdr:colOff>
      <xdr:row>16</xdr:row>
      <xdr:rowOff>105030</xdr:rowOff>
    </xdr:to>
    <xdr:sp macro="" textlink="">
      <xdr:nvSpPr>
        <xdr:cNvPr id="66" name="ホームベース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 bwMode="auto">
        <a:xfrm>
          <a:off x="5259861" y="1743332"/>
          <a:ext cx="1178011" cy="1523998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35702</xdr:colOff>
      <xdr:row>8</xdr:row>
      <xdr:rowOff>105032</xdr:rowOff>
    </xdr:from>
    <xdr:to>
      <xdr:col>38</xdr:col>
      <xdr:colOff>23088</xdr:colOff>
      <xdr:row>12</xdr:row>
      <xdr:rowOff>92673</xdr:rowOff>
    </xdr:to>
    <xdr:sp macro="" textlink="">
      <xdr:nvSpPr>
        <xdr:cNvPr id="67" name="ホームベース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/>
      </xdr:nvSpPr>
      <xdr:spPr bwMode="auto">
        <a:xfrm>
          <a:off x="7893827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35702</xdr:colOff>
      <xdr:row>12</xdr:row>
      <xdr:rowOff>117389</xdr:rowOff>
    </xdr:from>
    <xdr:to>
      <xdr:col>38</xdr:col>
      <xdr:colOff>23088</xdr:colOff>
      <xdr:row>16</xdr:row>
      <xdr:rowOff>105030</xdr:rowOff>
    </xdr:to>
    <xdr:sp macro="" textlink="">
      <xdr:nvSpPr>
        <xdr:cNvPr id="68" name="ホームベース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/>
      </xdr:nvSpPr>
      <xdr:spPr bwMode="auto">
        <a:xfrm>
          <a:off x="7893827" y="2517689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8</xdr:row>
      <xdr:rowOff>105032</xdr:rowOff>
    </xdr:from>
    <xdr:to>
      <xdr:col>43</xdr:col>
      <xdr:colOff>117565</xdr:colOff>
      <xdr:row>12</xdr:row>
      <xdr:rowOff>92673</xdr:rowOff>
    </xdr:to>
    <xdr:sp macro="" textlink="">
      <xdr:nvSpPr>
        <xdr:cNvPr id="69" name="ホームベース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/>
      </xdr:nvSpPr>
      <xdr:spPr bwMode="auto">
        <a:xfrm>
          <a:off x="9178929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196245</xdr:colOff>
      <xdr:row>11</xdr:row>
      <xdr:rowOff>126732</xdr:rowOff>
    </xdr:from>
    <xdr:to>
      <xdr:col>26</xdr:col>
      <xdr:colOff>162102</xdr:colOff>
      <xdr:row>13</xdr:row>
      <xdr:rowOff>63127</xdr:rowOff>
    </xdr:to>
    <xdr:sp macro="" textlink="">
      <xdr:nvSpPr>
        <xdr:cNvPr id="70" name="テキスト ボックス 3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 txBox="1"/>
      </xdr:nvSpPr>
      <xdr:spPr>
        <a:xfrm>
          <a:off x="5434995" y="2393682"/>
          <a:ext cx="918357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契約検討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9</xdr:row>
      <xdr:rowOff>58519</xdr:rowOff>
    </xdr:from>
    <xdr:to>
      <xdr:col>37</xdr:col>
      <xdr:colOff>114909</xdr:colOff>
      <xdr:row>12</xdr:row>
      <xdr:rowOff>29475</xdr:rowOff>
    </xdr:to>
    <xdr:sp macro="" textlink="">
      <xdr:nvSpPr>
        <xdr:cNvPr id="71" name="テキスト ボックス 25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 txBox="1"/>
      </xdr:nvSpPr>
      <xdr:spPr>
        <a:xfrm>
          <a:off x="7969946" y="1944469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契約書締結準備・発送</a:t>
          </a:r>
        </a:p>
      </xdr:txBody>
    </xdr:sp>
    <xdr:clientData/>
  </xdr:twoCellAnchor>
  <xdr:twoCellAnchor>
    <xdr:from>
      <xdr:col>39</xdr:col>
      <xdr:colOff>3265</xdr:colOff>
      <xdr:row>9</xdr:row>
      <xdr:rowOff>58519</xdr:rowOff>
    </xdr:from>
    <xdr:to>
      <xdr:col>43</xdr:col>
      <xdr:colOff>6353</xdr:colOff>
      <xdr:row>12</xdr:row>
      <xdr:rowOff>29475</xdr:rowOff>
    </xdr:to>
    <xdr:sp macro="" textlink="">
      <xdr:nvSpPr>
        <xdr:cNvPr id="72" name="テキスト ボックス 27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/>
      </xdr:nvSpPr>
      <xdr:spPr>
        <a:xfrm>
          <a:off x="9290140" y="1944469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契約書捺印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・締結完了</a:t>
          </a:r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13</xdr:row>
      <xdr:rowOff>58341</xdr:rowOff>
    </xdr:from>
    <xdr:to>
      <xdr:col>37</xdr:col>
      <xdr:colOff>114909</xdr:colOff>
      <xdr:row>16</xdr:row>
      <xdr:rowOff>29297</xdr:rowOff>
    </xdr:to>
    <xdr:sp macro="" textlink="">
      <xdr:nvSpPr>
        <xdr:cNvPr id="73" name="テキスト ボックス 28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 txBox="1"/>
      </xdr:nvSpPr>
      <xdr:spPr>
        <a:xfrm>
          <a:off x="7969946" y="2706291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契約関連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レター格納</a:t>
          </a:r>
        </a:p>
      </xdr:txBody>
    </xdr:sp>
    <xdr:clientData/>
  </xdr:twoCellAnchor>
  <xdr:twoCellAnchor>
    <xdr:from>
      <xdr:col>27</xdr:col>
      <xdr:colOff>140137</xdr:colOff>
      <xdr:row>8</xdr:row>
      <xdr:rowOff>105032</xdr:rowOff>
    </xdr:from>
    <xdr:to>
      <xdr:col>32</xdr:col>
      <xdr:colOff>127523</xdr:colOff>
      <xdr:row>12</xdr:row>
      <xdr:rowOff>92673</xdr:rowOff>
    </xdr:to>
    <xdr:sp macro="" textlink="">
      <xdr:nvSpPr>
        <xdr:cNvPr id="74" name="ホームベース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/>
      </xdr:nvSpPr>
      <xdr:spPr bwMode="auto">
        <a:xfrm>
          <a:off x="6569512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140137</xdr:colOff>
      <xdr:row>12</xdr:row>
      <xdr:rowOff>117389</xdr:rowOff>
    </xdr:from>
    <xdr:to>
      <xdr:col>32</xdr:col>
      <xdr:colOff>127523</xdr:colOff>
      <xdr:row>16</xdr:row>
      <xdr:rowOff>105030</xdr:rowOff>
    </xdr:to>
    <xdr:sp macro="" textlink="">
      <xdr:nvSpPr>
        <xdr:cNvPr id="75" name="ホームベース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SpPr/>
      </xdr:nvSpPr>
      <xdr:spPr bwMode="auto">
        <a:xfrm>
          <a:off x="6569512" y="2517689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216256</xdr:colOff>
      <xdr:row>9</xdr:row>
      <xdr:rowOff>165613</xdr:rowOff>
    </xdr:from>
    <xdr:to>
      <xdr:col>31</xdr:col>
      <xdr:colOff>219344</xdr:colOff>
      <xdr:row>11</xdr:row>
      <xdr:rowOff>102008</xdr:rowOff>
    </xdr:to>
    <xdr:sp macro="" textlink="">
      <xdr:nvSpPr>
        <xdr:cNvPr id="76" name="テキスト ボックス 32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 txBox="1"/>
      </xdr:nvSpPr>
      <xdr:spPr>
        <a:xfrm>
          <a:off x="6645631" y="2051563"/>
          <a:ext cx="955588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契約書作成</a:t>
          </a:r>
        </a:p>
      </xdr:txBody>
    </xdr:sp>
    <xdr:clientData/>
  </xdr:twoCellAnchor>
  <xdr:twoCellAnchor>
    <xdr:from>
      <xdr:col>27</xdr:col>
      <xdr:colOff>216256</xdr:colOff>
      <xdr:row>13</xdr:row>
      <xdr:rowOff>58341</xdr:rowOff>
    </xdr:from>
    <xdr:to>
      <xdr:col>31</xdr:col>
      <xdr:colOff>219344</xdr:colOff>
      <xdr:row>16</xdr:row>
      <xdr:rowOff>29297</xdr:rowOff>
    </xdr:to>
    <xdr:sp macro="" textlink="">
      <xdr:nvSpPr>
        <xdr:cNvPr id="77" name="テキスト ボックス 33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 txBox="1"/>
      </xdr:nvSpPr>
      <xdr:spPr>
        <a:xfrm>
          <a:off x="6645631" y="2706291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契約関連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レター作成</a:t>
          </a:r>
        </a:p>
      </xdr:txBody>
    </xdr:sp>
    <xdr:clientData/>
  </xdr:twoCellAnchor>
  <xdr:twoCellAnchor>
    <xdr:from>
      <xdr:col>27</xdr:col>
      <xdr:colOff>140137</xdr:colOff>
      <xdr:row>25</xdr:row>
      <xdr:rowOff>14583</xdr:rowOff>
    </xdr:from>
    <xdr:to>
      <xdr:col>32</xdr:col>
      <xdr:colOff>127523</xdr:colOff>
      <xdr:row>31</xdr:row>
      <xdr:rowOff>159617</xdr:rowOff>
    </xdr:to>
    <xdr:sp macro="" textlink="">
      <xdr:nvSpPr>
        <xdr:cNvPr id="78" name="ホームベース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/>
      </xdr:nvSpPr>
      <xdr:spPr bwMode="auto">
        <a:xfrm>
          <a:off x="6569512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187376</xdr:colOff>
      <xdr:row>25</xdr:row>
      <xdr:rowOff>141583</xdr:rowOff>
    </xdr:from>
    <xdr:to>
      <xdr:col>32</xdr:col>
      <xdr:colOff>43002</xdr:colOff>
      <xdr:row>31</xdr:row>
      <xdr:rowOff>66183</xdr:rowOff>
    </xdr:to>
    <xdr:sp macro="" textlink="">
      <xdr:nvSpPr>
        <xdr:cNvPr id="79" name="テキスト ボックス 35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 txBox="1"/>
      </xdr:nvSpPr>
      <xdr:spPr>
        <a:xfrm>
          <a:off x="6616751" y="5075533"/>
          <a:ext cx="1046251" cy="106760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い取り込み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①査定情報取りこみシート</a:t>
          </a:r>
          <a:endParaRPr kumimoji="1"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②インセン率マスタ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140137</xdr:colOff>
      <xdr:row>17</xdr:row>
      <xdr:rowOff>165611</xdr:rowOff>
    </xdr:from>
    <xdr:to>
      <xdr:col>32</xdr:col>
      <xdr:colOff>127523</xdr:colOff>
      <xdr:row>24</xdr:row>
      <xdr:rowOff>120145</xdr:rowOff>
    </xdr:to>
    <xdr:sp macro="" textlink="">
      <xdr:nvSpPr>
        <xdr:cNvPr id="80" name="ホームベース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/>
      </xdr:nvSpPr>
      <xdr:spPr bwMode="auto">
        <a:xfrm>
          <a:off x="6569512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229815</xdr:colOff>
      <xdr:row>19</xdr:row>
      <xdr:rowOff>168961</xdr:rowOff>
    </xdr:from>
    <xdr:to>
      <xdr:col>31</xdr:col>
      <xdr:colOff>195672</xdr:colOff>
      <xdr:row>22</xdr:row>
      <xdr:rowOff>139917</xdr:rowOff>
    </xdr:to>
    <xdr:sp macro="" textlink="">
      <xdr:nvSpPr>
        <xdr:cNvPr id="81" name="テキスト ボックス 37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6659190" y="3959911"/>
          <a:ext cx="918357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料率申請シート起票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21111</xdr:colOff>
      <xdr:row>25</xdr:row>
      <xdr:rowOff>14583</xdr:rowOff>
    </xdr:from>
    <xdr:to>
      <xdr:col>27</xdr:col>
      <xdr:colOff>8497</xdr:colOff>
      <xdr:row>31</xdr:row>
      <xdr:rowOff>159617</xdr:rowOff>
    </xdr:to>
    <xdr:sp macro="" textlink="">
      <xdr:nvSpPr>
        <xdr:cNvPr id="82" name="ホームベース 81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 bwMode="auto">
        <a:xfrm>
          <a:off x="5259861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132744</xdr:colOff>
      <xdr:row>27</xdr:row>
      <xdr:rowOff>139100</xdr:rowOff>
    </xdr:from>
    <xdr:to>
      <xdr:col>26</xdr:col>
      <xdr:colOff>98601</xdr:colOff>
      <xdr:row>29</xdr:row>
      <xdr:rowOff>75495</xdr:rowOff>
    </xdr:to>
    <xdr:sp macro="" textlink="">
      <xdr:nvSpPr>
        <xdr:cNvPr id="83" name="テキスト ボックス 39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 txBox="1"/>
      </xdr:nvSpPr>
      <xdr:spPr>
        <a:xfrm>
          <a:off x="5371494" y="5454050"/>
          <a:ext cx="918357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年度査定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21111</xdr:colOff>
      <xdr:row>17</xdr:row>
      <xdr:rowOff>165611</xdr:rowOff>
    </xdr:from>
    <xdr:to>
      <xdr:col>27</xdr:col>
      <xdr:colOff>8497</xdr:colOff>
      <xdr:row>24</xdr:row>
      <xdr:rowOff>120145</xdr:rowOff>
    </xdr:to>
    <xdr:sp macro="" textlink="">
      <xdr:nvSpPr>
        <xdr:cNvPr id="84" name="ホームベース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 bwMode="auto">
        <a:xfrm>
          <a:off x="5259861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74737</xdr:colOff>
      <xdr:row>19</xdr:row>
      <xdr:rowOff>168961</xdr:rowOff>
    </xdr:from>
    <xdr:to>
      <xdr:col>27</xdr:col>
      <xdr:colOff>43509</xdr:colOff>
      <xdr:row>22</xdr:row>
      <xdr:rowOff>139917</xdr:rowOff>
    </xdr:to>
    <xdr:sp macro="" textlink="">
      <xdr:nvSpPr>
        <xdr:cNvPr id="85" name="テキスト ボックス 41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5313487" y="3959911"/>
          <a:ext cx="1159397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案件発生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（横断会決議）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39487</xdr:colOff>
      <xdr:row>25</xdr:row>
      <xdr:rowOff>14583</xdr:rowOff>
    </xdr:from>
    <xdr:to>
      <xdr:col>38</xdr:col>
      <xdr:colOff>26873</xdr:colOff>
      <xdr:row>31</xdr:row>
      <xdr:rowOff>159617</xdr:rowOff>
    </xdr:to>
    <xdr:sp macro="" textlink="">
      <xdr:nvSpPr>
        <xdr:cNvPr id="86" name="ホームベース 85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/>
      </xdr:nvSpPr>
      <xdr:spPr bwMode="auto">
        <a:xfrm>
          <a:off x="7897612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39487</xdr:colOff>
      <xdr:row>17</xdr:row>
      <xdr:rowOff>165611</xdr:rowOff>
    </xdr:from>
    <xdr:to>
      <xdr:col>38</xdr:col>
      <xdr:colOff>26873</xdr:colOff>
      <xdr:row>24</xdr:row>
      <xdr:rowOff>120145</xdr:rowOff>
    </xdr:to>
    <xdr:sp macro="" textlink="">
      <xdr:nvSpPr>
        <xdr:cNvPr id="87" name="ホームベース 86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/>
      </xdr:nvSpPr>
      <xdr:spPr bwMode="auto">
        <a:xfrm>
          <a:off x="7897612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25</xdr:row>
      <xdr:rowOff>14583</xdr:rowOff>
    </xdr:from>
    <xdr:to>
      <xdr:col>21</xdr:col>
      <xdr:colOff>148024</xdr:colOff>
      <xdr:row>31</xdr:row>
      <xdr:rowOff>159617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/>
      </xdr:nvSpPr>
      <xdr:spPr bwMode="auto">
        <a:xfrm>
          <a:off x="4055849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・査定情報取り込みシート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・インセン率マスタ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・料率申請シート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17</xdr:row>
      <xdr:rowOff>165611</xdr:rowOff>
    </xdr:from>
    <xdr:to>
      <xdr:col>21</xdr:col>
      <xdr:colOff>148024</xdr:colOff>
      <xdr:row>24</xdr:row>
      <xdr:rowOff>120145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/>
      </xdr:nvSpPr>
      <xdr:spPr bwMode="auto">
        <a:xfrm>
          <a:off x="4055849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・料率申請シート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8</xdr:row>
      <xdr:rowOff>44435</xdr:rowOff>
    </xdr:from>
    <xdr:to>
      <xdr:col>21</xdr:col>
      <xdr:colOff>148024</xdr:colOff>
      <xdr:row>16</xdr:row>
      <xdr:rowOff>105030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/>
      </xdr:nvSpPr>
      <xdr:spPr bwMode="auto">
        <a:xfrm>
          <a:off x="4055849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※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現状無し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（手作業にて対応）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★契約書・レターのパターン一覧を作りたい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6</xdr:row>
      <xdr:rowOff>46737</xdr:rowOff>
    </xdr:from>
    <xdr:to>
      <xdr:col>21</xdr:col>
      <xdr:colOff>148024</xdr:colOff>
      <xdr:row>7</xdr:row>
      <xdr:rowOff>174905</xdr:rowOff>
    </xdr:to>
    <xdr:sp macro="" textlink="">
      <xdr:nvSpPr>
        <xdr:cNvPr id="91" name="Rectangle 307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>
          <a:spLocks noChangeArrowheads="1"/>
        </xdr:cNvSpPr>
      </xdr:nvSpPr>
      <xdr:spPr bwMode="gray">
        <a:xfrm>
          <a:off x="4055849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管理シート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38</xdr:col>
      <xdr:colOff>117485</xdr:colOff>
      <xdr:row>25</xdr:row>
      <xdr:rowOff>14583</xdr:rowOff>
    </xdr:from>
    <xdr:to>
      <xdr:col>43</xdr:col>
      <xdr:colOff>104871</xdr:colOff>
      <xdr:row>31</xdr:row>
      <xdr:rowOff>159617</xdr:rowOff>
    </xdr:to>
    <xdr:sp macro="" textlink="">
      <xdr:nvSpPr>
        <xdr:cNvPr id="92" name="ホームベース 9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/>
      </xdr:nvSpPr>
      <xdr:spPr bwMode="auto">
        <a:xfrm>
          <a:off x="9166235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117485</xdr:colOff>
      <xdr:row>17</xdr:row>
      <xdr:rowOff>165611</xdr:rowOff>
    </xdr:from>
    <xdr:to>
      <xdr:col>43</xdr:col>
      <xdr:colOff>104871</xdr:colOff>
      <xdr:row>24</xdr:row>
      <xdr:rowOff>120145</xdr:rowOff>
    </xdr:to>
    <xdr:sp macro="" textlink="">
      <xdr:nvSpPr>
        <xdr:cNvPr id="93" name="ホームベース 9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/>
      </xdr:nvSpPr>
      <xdr:spPr bwMode="auto">
        <a:xfrm>
          <a:off x="9166235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64531</xdr:colOff>
      <xdr:row>25</xdr:row>
      <xdr:rowOff>141583</xdr:rowOff>
    </xdr:from>
    <xdr:to>
      <xdr:col>37</xdr:col>
      <xdr:colOff>158282</xdr:colOff>
      <xdr:row>30</xdr:row>
      <xdr:rowOff>131649</xdr:rowOff>
    </xdr:to>
    <xdr:sp macro="" textlink="">
      <xdr:nvSpPr>
        <xdr:cNvPr id="94" name="テキスト ボックス 54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 txBox="1"/>
      </xdr:nvSpPr>
      <xdr:spPr>
        <a:xfrm>
          <a:off x="7922656" y="5075533"/>
          <a:ext cx="1046251" cy="94256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い取り込み</a:t>
          </a:r>
          <a:r>
            <a:rPr lang="en-US" altLang="ja-JP" sz="900">
              <a:latin typeface="メイリオ" panose="020B0604030504040204" pitchFamily="50" charset="-128"/>
              <a:ea typeface="メイリオ" panose="020B0604030504040204" pitchFamily="50" charset="-128"/>
            </a:rPr>
            <a:t>_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イレギュラー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③料率申請シート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27</xdr:row>
      <xdr:rowOff>14498</xdr:rowOff>
    </xdr:from>
    <xdr:to>
      <xdr:col>42</xdr:col>
      <xdr:colOff>223930</xdr:colOff>
      <xdr:row>31</xdr:row>
      <xdr:rowOff>20016</xdr:rowOff>
    </xdr:to>
    <xdr:sp macro="" textlink="">
      <xdr:nvSpPr>
        <xdr:cNvPr id="95" name="テキスト ボックス 55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/>
      </xdr:nvSpPr>
      <xdr:spPr>
        <a:xfrm>
          <a:off x="9178929" y="5329448"/>
          <a:ext cx="1046251" cy="76751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手数料インセンティブ一覧反映→広報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19</xdr:row>
      <xdr:rowOff>3861</xdr:rowOff>
    </xdr:from>
    <xdr:to>
      <xdr:col>37</xdr:col>
      <xdr:colOff>77678</xdr:colOff>
      <xdr:row>24</xdr:row>
      <xdr:rowOff>43940</xdr:rowOff>
    </xdr:to>
    <xdr:sp macro="" textlink="">
      <xdr:nvSpPr>
        <xdr:cNvPr id="96" name="テキスト ボックス 56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 txBox="1"/>
      </xdr:nvSpPr>
      <xdr:spPr>
        <a:xfrm>
          <a:off x="7969946" y="3794811"/>
          <a:ext cx="918357" cy="99257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料率申請シート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とんぺい</a:t>
          </a:r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取り込み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19</xdr:row>
      <xdr:rowOff>41961</xdr:rowOff>
    </xdr:from>
    <xdr:to>
      <xdr:col>42</xdr:col>
      <xdr:colOff>223930</xdr:colOff>
      <xdr:row>23</xdr:row>
      <xdr:rowOff>47479</xdr:rowOff>
    </xdr:to>
    <xdr:sp macro="" textlink="">
      <xdr:nvSpPr>
        <xdr:cNvPr id="97" name="テキスト ボックス 57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 txBox="1"/>
      </xdr:nvSpPr>
      <xdr:spPr>
        <a:xfrm>
          <a:off x="9178929" y="3832911"/>
          <a:ext cx="1046251" cy="76751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手数料インセンティブ一覧反映→広報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86882</xdr:colOff>
      <xdr:row>24</xdr:row>
      <xdr:rowOff>161747</xdr:rowOff>
    </xdr:from>
    <xdr:to>
      <xdr:col>32</xdr:col>
      <xdr:colOff>170896</xdr:colOff>
      <xdr:row>32</xdr:row>
      <xdr:rowOff>72080</xdr:rowOff>
    </xdr:to>
    <xdr:sp macro="" textlink="">
      <xdr:nvSpPr>
        <xdr:cNvPr id="99" name="正方形/長方形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 bwMode="auto">
        <a:xfrm>
          <a:off x="6516257" y="4848047"/>
          <a:ext cx="1274639" cy="1434333"/>
        </a:xfrm>
        <a:prstGeom prst="rect">
          <a:avLst/>
        </a:prstGeom>
        <a:noFill/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11</xdr:col>
      <xdr:colOff>19050</xdr:colOff>
      <xdr:row>1</xdr:row>
      <xdr:rowOff>114300</xdr:rowOff>
    </xdr:from>
    <xdr:to>
      <xdr:col>18</xdr:col>
      <xdr:colOff>66675</xdr:colOff>
      <xdr:row>4</xdr:row>
      <xdr:rowOff>104775</xdr:rowOff>
    </xdr:to>
    <xdr:sp macro="" textlink="">
      <xdr:nvSpPr>
        <xdr:cNvPr id="4" name="角丸四角形吹き出し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638425" y="476250"/>
          <a:ext cx="1714500" cy="561975"/>
        </a:xfrm>
        <a:prstGeom prst="wedgeRoundRectCallout">
          <a:avLst>
            <a:gd name="adj1" fmla="val -125349"/>
            <a:gd name="adj2" fmla="val -108687"/>
            <a:gd name="adj3" fmla="val 16667"/>
          </a:avLst>
        </a:prstGeom>
        <a:solidFill>
          <a:srgbClr val="FFFF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ユーザー部門からの提供されたもので</a:t>
          </a:r>
          <a:r>
            <a:rPr kumimoji="1" lang="en-US" altLang="ja-JP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OK</a:t>
          </a:r>
          <a:endParaRPr lang="ja-JP" altLang="ja-JP">
            <a:solidFill>
              <a:srgbClr val="FF0000"/>
            </a:solidFill>
            <a:effectLst/>
          </a:endParaRPr>
        </a:p>
        <a:p>
          <a:pPr algn="l"/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3</xdr:row>
      <xdr:rowOff>161925</xdr:rowOff>
    </xdr:from>
    <xdr:to>
      <xdr:col>31</xdr:col>
      <xdr:colOff>85012</xdr:colOff>
      <xdr:row>21</xdr:row>
      <xdr:rowOff>94830</xdr:rowOff>
    </xdr:to>
    <xdr:pic>
      <xdr:nvPicPr>
        <xdr:cNvPr id="66" name="図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962025"/>
          <a:ext cx="5704762" cy="33619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61046</xdr:colOff>
      <xdr:row>16</xdr:row>
      <xdr:rowOff>114300</xdr:rowOff>
    </xdr:from>
    <xdr:to>
      <xdr:col>12</xdr:col>
      <xdr:colOff>156296</xdr:colOff>
      <xdr:row>20</xdr:row>
      <xdr:rowOff>47625</xdr:rowOff>
    </xdr:to>
    <xdr:sp macro="" textlink="">
      <xdr:nvSpPr>
        <xdr:cNvPr id="64" name="フローチャート: 内部記憶 63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/>
      </xdr:nvSpPr>
      <xdr:spPr>
        <a:xfrm>
          <a:off x="1204046" y="14754225"/>
          <a:ext cx="1238250" cy="695325"/>
        </a:xfrm>
        <a:prstGeom prst="flowChartInternalStorage">
          <a:avLst/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rPr>
            <a:t>「課題登録」</a:t>
          </a:r>
          <a:endParaRPr kumimoji="1" lang="en-US" altLang="ja-JP" sz="800" b="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rPr>
            <a:t>ボタン押下</a:t>
          </a:r>
          <a:endParaRPr kumimoji="1" lang="en-US" altLang="ja-JP" sz="800" b="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103909</xdr:colOff>
      <xdr:row>33</xdr:row>
      <xdr:rowOff>61652</xdr:rowOff>
    </xdr:from>
    <xdr:to>
      <xdr:col>14</xdr:col>
      <xdr:colOff>113434</xdr:colOff>
      <xdr:row>38</xdr:row>
      <xdr:rowOff>14025</xdr:rowOff>
    </xdr:to>
    <xdr:sp macro="" textlink="">
      <xdr:nvSpPr>
        <xdr:cNvPr id="65" name="フローチャート: 判断 64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/>
      </xdr:nvSpPr>
      <xdr:spPr>
        <a:xfrm>
          <a:off x="865909" y="17940077"/>
          <a:ext cx="1914525" cy="904873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処理③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カテゴリー追加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4</xdr:col>
      <xdr:colOff>103909</xdr:colOff>
      <xdr:row>27</xdr:row>
      <xdr:rowOff>72852</xdr:rowOff>
    </xdr:from>
    <xdr:to>
      <xdr:col>14</xdr:col>
      <xdr:colOff>113434</xdr:colOff>
      <xdr:row>32</xdr:row>
      <xdr:rowOff>25225</xdr:rowOff>
    </xdr:to>
    <xdr:sp macro="" textlink="">
      <xdr:nvSpPr>
        <xdr:cNvPr id="66" name="フローチャート: 判断 65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/>
      </xdr:nvSpPr>
      <xdr:spPr>
        <a:xfrm>
          <a:off x="865909" y="16808277"/>
          <a:ext cx="1914525" cy="904873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処理②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カテゴリー存在ェック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0</xdr:col>
      <xdr:colOff>28575</xdr:colOff>
      <xdr:row>31</xdr:row>
      <xdr:rowOff>179243</xdr:rowOff>
    </xdr:from>
    <xdr:to>
      <xdr:col>5</xdr:col>
      <xdr:colOff>96998</xdr:colOff>
      <xdr:row>36</xdr:row>
      <xdr:rowOff>23667</xdr:rowOff>
    </xdr:to>
    <xdr:grpSp>
      <xdr:nvGrpSpPr>
        <xdr:cNvPr id="67" name="グループ化 66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GrpSpPr/>
      </xdr:nvGrpSpPr>
      <xdr:grpSpPr>
        <a:xfrm>
          <a:off x="28575" y="6256193"/>
          <a:ext cx="1020923" cy="796924"/>
          <a:chOff x="28575" y="14706600"/>
          <a:chExt cx="1020923" cy="796924"/>
        </a:xfrm>
      </xdr:grpSpPr>
      <xdr:sp macro="" textlink="">
        <xdr:nvSpPr>
          <xdr:cNvPr id="68" name="雲 67">
            <a:extLst>
              <a:ext uri="{FF2B5EF4-FFF2-40B4-BE49-F238E27FC236}">
                <a16:creationId xmlns:a16="http://schemas.microsoft.com/office/drawing/2014/main" id="{00000000-0008-0000-0600-000044000000}"/>
              </a:ext>
            </a:extLst>
          </xdr:cNvPr>
          <xdr:cNvSpPr/>
        </xdr:nvSpPr>
        <xdr:spPr>
          <a:xfrm>
            <a:off x="28575" y="14706600"/>
            <a:ext cx="952500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Backlog</a:t>
            </a:r>
            <a:endParaRPr kumimoji="1" lang="ja-JP" altLang="en-US" sz="1100"/>
          </a:p>
        </xdr:txBody>
      </xdr:sp>
      <xdr:grpSp>
        <xdr:nvGrpSpPr>
          <xdr:cNvPr id="69" name="グループ化 68">
            <a:extLst>
              <a:ext uri="{FF2B5EF4-FFF2-40B4-BE49-F238E27FC236}">
                <a16:creationId xmlns:a16="http://schemas.microsoft.com/office/drawing/2014/main" id="{00000000-0008-0000-0600-000045000000}"/>
              </a:ext>
            </a:extLst>
          </xdr:cNvPr>
          <xdr:cNvGrpSpPr/>
        </xdr:nvGrpSpPr>
        <xdr:grpSpPr>
          <a:xfrm>
            <a:off x="619125" y="15116175"/>
            <a:ext cx="430373" cy="387349"/>
            <a:chOff x="2057400" y="3362325"/>
            <a:chExt cx="430373" cy="330199"/>
          </a:xfrm>
        </xdr:grpSpPr>
        <xdr:sp macro="" textlink="">
          <xdr:nvSpPr>
            <xdr:cNvPr id="70" name="右矢印 69">
              <a:extLst>
                <a:ext uri="{FF2B5EF4-FFF2-40B4-BE49-F238E27FC236}">
                  <a16:creationId xmlns:a16="http://schemas.microsoft.com/office/drawing/2014/main" id="{00000000-0008-0000-0600-000046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71" name="右矢印 70">
              <a:extLst>
                <a:ext uri="{FF2B5EF4-FFF2-40B4-BE49-F238E27FC236}">
                  <a16:creationId xmlns:a16="http://schemas.microsoft.com/office/drawing/2014/main" id="{00000000-0008-0000-0600-000047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</xdr:grpSp>
    </xdr:grpSp>
    <xdr:clientData/>
  </xdr:twoCellAnchor>
  <xdr:twoCellAnchor>
    <xdr:from>
      <xdr:col>4</xdr:col>
      <xdr:colOff>103909</xdr:colOff>
      <xdr:row>39</xdr:row>
      <xdr:rowOff>50452</xdr:rowOff>
    </xdr:from>
    <xdr:to>
      <xdr:col>14</xdr:col>
      <xdr:colOff>113434</xdr:colOff>
      <xdr:row>46</xdr:row>
      <xdr:rowOff>21876</xdr:rowOff>
    </xdr:to>
    <xdr:sp macro="" textlink="">
      <xdr:nvSpPr>
        <xdr:cNvPr id="72" name="フローチャート: 判断 71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/>
      </xdr:nvSpPr>
      <xdr:spPr>
        <a:xfrm>
          <a:off x="865909" y="19071877"/>
          <a:ext cx="1914525" cy="1304924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処理④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業務管理マスタ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データ取得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4</xdr:col>
      <xdr:colOff>103909</xdr:colOff>
      <xdr:row>47</xdr:row>
      <xdr:rowOff>58303</xdr:rowOff>
    </xdr:from>
    <xdr:to>
      <xdr:col>14</xdr:col>
      <xdr:colOff>113434</xdr:colOff>
      <xdr:row>54</xdr:row>
      <xdr:rowOff>29727</xdr:rowOff>
    </xdr:to>
    <xdr:sp macro="" textlink="">
      <xdr:nvSpPr>
        <xdr:cNvPr id="73" name="フローチャート: 判断 72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/>
      </xdr:nvSpPr>
      <xdr:spPr>
        <a:xfrm>
          <a:off x="865909" y="20603728"/>
          <a:ext cx="1914525" cy="1304924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処理⑤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作業管理マスタ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データ取得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4</xdr:col>
      <xdr:colOff>103909</xdr:colOff>
      <xdr:row>55</xdr:row>
      <xdr:rowOff>66154</xdr:rowOff>
    </xdr:from>
    <xdr:to>
      <xdr:col>14</xdr:col>
      <xdr:colOff>113434</xdr:colOff>
      <xdr:row>62</xdr:row>
      <xdr:rowOff>37578</xdr:rowOff>
    </xdr:to>
    <xdr:sp macro="" textlink="">
      <xdr:nvSpPr>
        <xdr:cNvPr id="74" name="フローチャート: 判断 73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/>
      </xdr:nvSpPr>
      <xdr:spPr>
        <a:xfrm>
          <a:off x="865909" y="22135579"/>
          <a:ext cx="1914525" cy="1304924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処理⑥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カレンダーマスタ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データ取得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0</xdr:col>
      <xdr:colOff>47625</xdr:colOff>
      <xdr:row>40</xdr:row>
      <xdr:rowOff>95250</xdr:rowOff>
    </xdr:from>
    <xdr:to>
      <xdr:col>5</xdr:col>
      <xdr:colOff>133350</xdr:colOff>
      <xdr:row>43</xdr:row>
      <xdr:rowOff>161925</xdr:rowOff>
    </xdr:to>
    <xdr:sp macro="" textlink="">
      <xdr:nvSpPr>
        <xdr:cNvPr id="75" name="雲 74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/>
      </xdr:nvSpPr>
      <xdr:spPr>
        <a:xfrm>
          <a:off x="47625" y="19307175"/>
          <a:ext cx="1038225" cy="638175"/>
        </a:xfrm>
        <a:prstGeom prst="cloud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Kintone</a:t>
          </a:r>
          <a:endParaRPr kumimoji="1" lang="ja-JP" altLang="en-US" sz="1100"/>
        </a:p>
      </xdr:txBody>
    </xdr:sp>
    <xdr:clientData/>
  </xdr:twoCellAnchor>
  <xdr:twoCellAnchor>
    <xdr:from>
      <xdr:col>3</xdr:col>
      <xdr:colOff>123826</xdr:colOff>
      <xdr:row>42</xdr:row>
      <xdr:rowOff>38100</xdr:rowOff>
    </xdr:from>
    <xdr:to>
      <xdr:col>5</xdr:col>
      <xdr:colOff>173199</xdr:colOff>
      <xdr:row>44</xdr:row>
      <xdr:rowOff>44449</xdr:rowOff>
    </xdr:to>
    <xdr:grpSp>
      <xdr:nvGrpSpPr>
        <xdr:cNvPr id="76" name="グループ化 75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GrpSpPr/>
      </xdr:nvGrpSpPr>
      <xdr:grpSpPr>
        <a:xfrm>
          <a:off x="695326" y="8210550"/>
          <a:ext cx="430373" cy="387349"/>
          <a:chOff x="2057400" y="3362325"/>
          <a:chExt cx="430373" cy="330199"/>
        </a:xfrm>
      </xdr:grpSpPr>
      <xdr:sp macro="" textlink="">
        <xdr:nvSpPr>
          <xdr:cNvPr id="77" name="右矢印 76">
            <a:extLst>
              <a:ext uri="{FF2B5EF4-FFF2-40B4-BE49-F238E27FC236}">
                <a16:creationId xmlns:a16="http://schemas.microsoft.com/office/drawing/2014/main" id="{00000000-0008-0000-0600-00004D000000}"/>
              </a:ext>
            </a:extLst>
          </xdr:cNvPr>
          <xdr:cNvSpPr/>
        </xdr:nvSpPr>
        <xdr:spPr>
          <a:xfrm>
            <a:off x="2085975" y="3362325"/>
            <a:ext cx="401798" cy="177799"/>
          </a:xfrm>
          <a:prstGeom prst="rightArrow">
            <a:avLst/>
          </a:prstGeom>
          <a:solidFill>
            <a:srgbClr val="FF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800"/>
          </a:p>
        </xdr:txBody>
      </xdr:sp>
      <xdr:sp macro="" textlink="">
        <xdr:nvSpPr>
          <xdr:cNvPr id="78" name="右矢印 77">
            <a:extLst>
              <a:ext uri="{FF2B5EF4-FFF2-40B4-BE49-F238E27FC236}">
                <a16:creationId xmlns:a16="http://schemas.microsoft.com/office/drawing/2014/main" id="{00000000-0008-0000-0600-00004E000000}"/>
              </a:ext>
            </a:extLst>
          </xdr:cNvPr>
          <xdr:cNvSpPr/>
        </xdr:nvSpPr>
        <xdr:spPr>
          <a:xfrm rot="10800000">
            <a:off x="2057400" y="3514725"/>
            <a:ext cx="401798" cy="177799"/>
          </a:xfrm>
          <a:prstGeom prst="rightArrow">
            <a:avLst/>
          </a:prstGeom>
          <a:solidFill>
            <a:srgbClr val="FF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800"/>
          </a:p>
        </xdr:txBody>
      </xdr:sp>
    </xdr:grpSp>
    <xdr:clientData/>
  </xdr:twoCellAnchor>
  <xdr:twoCellAnchor>
    <xdr:from>
      <xdr:col>0</xdr:col>
      <xdr:colOff>57150</xdr:colOff>
      <xdr:row>48</xdr:row>
      <xdr:rowOff>66675</xdr:rowOff>
    </xdr:from>
    <xdr:to>
      <xdr:col>5</xdr:col>
      <xdr:colOff>182724</xdr:colOff>
      <xdr:row>52</xdr:row>
      <xdr:rowOff>15874</xdr:rowOff>
    </xdr:to>
    <xdr:grpSp>
      <xdr:nvGrpSpPr>
        <xdr:cNvPr id="79" name="グループ化 78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GrpSpPr/>
      </xdr:nvGrpSpPr>
      <xdr:grpSpPr>
        <a:xfrm>
          <a:off x="57150" y="9382125"/>
          <a:ext cx="1078074" cy="711199"/>
          <a:chOff x="0" y="18611850"/>
          <a:chExt cx="1078074" cy="711199"/>
        </a:xfrm>
      </xdr:grpSpPr>
      <xdr:sp macro="" textlink="">
        <xdr:nvSpPr>
          <xdr:cNvPr id="80" name="雲 79">
            <a:extLst>
              <a:ext uri="{FF2B5EF4-FFF2-40B4-BE49-F238E27FC236}">
                <a16:creationId xmlns:a16="http://schemas.microsoft.com/office/drawing/2014/main" id="{00000000-0008-0000-0600-000050000000}"/>
              </a:ext>
            </a:extLst>
          </xdr:cNvPr>
          <xdr:cNvSpPr/>
        </xdr:nvSpPr>
        <xdr:spPr>
          <a:xfrm>
            <a:off x="0" y="18611850"/>
            <a:ext cx="1038225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Kintone</a:t>
            </a:r>
            <a:endParaRPr kumimoji="1" lang="ja-JP" altLang="en-US" sz="1100"/>
          </a:p>
        </xdr:txBody>
      </xdr:sp>
      <xdr:grpSp>
        <xdr:nvGrpSpPr>
          <xdr:cNvPr id="81" name="グループ化 80">
            <a:extLst>
              <a:ext uri="{FF2B5EF4-FFF2-40B4-BE49-F238E27FC236}">
                <a16:creationId xmlns:a16="http://schemas.microsoft.com/office/drawing/2014/main" id="{00000000-0008-0000-0600-000051000000}"/>
              </a:ext>
            </a:extLst>
          </xdr:cNvPr>
          <xdr:cNvGrpSpPr/>
        </xdr:nvGrpSpPr>
        <xdr:grpSpPr>
          <a:xfrm>
            <a:off x="647701" y="18935700"/>
            <a:ext cx="430373" cy="387349"/>
            <a:chOff x="2057400" y="3362325"/>
            <a:chExt cx="430373" cy="330199"/>
          </a:xfrm>
        </xdr:grpSpPr>
        <xdr:sp macro="" textlink="">
          <xdr:nvSpPr>
            <xdr:cNvPr id="82" name="右矢印 81">
              <a:extLst>
                <a:ext uri="{FF2B5EF4-FFF2-40B4-BE49-F238E27FC236}">
                  <a16:creationId xmlns:a16="http://schemas.microsoft.com/office/drawing/2014/main" id="{00000000-0008-0000-0600-000052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83" name="右矢印 82">
              <a:extLst>
                <a:ext uri="{FF2B5EF4-FFF2-40B4-BE49-F238E27FC236}">
                  <a16:creationId xmlns:a16="http://schemas.microsoft.com/office/drawing/2014/main" id="{00000000-0008-0000-0600-000053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en-US" altLang="ja-JP" sz="800"/>
                <a:t>z</a:t>
              </a:r>
              <a:endParaRPr kumimoji="1" lang="ja-JP" altLang="en-US" sz="800"/>
            </a:p>
          </xdr:txBody>
        </xdr:sp>
      </xdr:grpSp>
    </xdr:grpSp>
    <xdr:clientData/>
  </xdr:twoCellAnchor>
  <xdr:twoCellAnchor>
    <xdr:from>
      <xdr:col>0</xdr:col>
      <xdr:colOff>19050</xdr:colOff>
      <xdr:row>45</xdr:row>
      <xdr:rowOff>47625</xdr:rowOff>
    </xdr:from>
    <xdr:to>
      <xdr:col>7</xdr:col>
      <xdr:colOff>28575</xdr:colOff>
      <xdr:row>46</xdr:row>
      <xdr:rowOff>19049</xdr:rowOff>
    </xdr:to>
    <xdr:sp macro="" textlink="">
      <xdr:nvSpPr>
        <xdr:cNvPr id="84" name="フローチャート: データ 83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/>
      </xdr:nvSpPr>
      <xdr:spPr>
        <a:xfrm>
          <a:off x="19050" y="20212050"/>
          <a:ext cx="1343025" cy="161924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業務管理マスタ</a:t>
          </a:r>
        </a:p>
      </xdr:txBody>
    </xdr:sp>
    <xdr:clientData/>
  </xdr:twoCellAnchor>
  <xdr:twoCellAnchor>
    <xdr:from>
      <xdr:col>0</xdr:col>
      <xdr:colOff>28575</xdr:colOff>
      <xdr:row>52</xdr:row>
      <xdr:rowOff>142875</xdr:rowOff>
    </xdr:from>
    <xdr:to>
      <xdr:col>7</xdr:col>
      <xdr:colOff>38100</xdr:colOff>
      <xdr:row>53</xdr:row>
      <xdr:rowOff>114299</xdr:rowOff>
    </xdr:to>
    <xdr:sp macro="" textlink="">
      <xdr:nvSpPr>
        <xdr:cNvPr id="85" name="フローチャート: データ 84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/>
      </xdr:nvSpPr>
      <xdr:spPr>
        <a:xfrm>
          <a:off x="28575" y="21640800"/>
          <a:ext cx="1343025" cy="161924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作業管理マスタ</a:t>
          </a:r>
        </a:p>
      </xdr:txBody>
    </xdr:sp>
    <xdr:clientData/>
  </xdr:twoCellAnchor>
  <xdr:twoCellAnchor>
    <xdr:from>
      <xdr:col>0</xdr:col>
      <xdr:colOff>28575</xdr:colOff>
      <xdr:row>60</xdr:row>
      <xdr:rowOff>114300</xdr:rowOff>
    </xdr:from>
    <xdr:to>
      <xdr:col>7</xdr:col>
      <xdr:colOff>38100</xdr:colOff>
      <xdr:row>61</xdr:row>
      <xdr:rowOff>85724</xdr:rowOff>
    </xdr:to>
    <xdr:sp macro="" textlink="">
      <xdr:nvSpPr>
        <xdr:cNvPr id="86" name="フローチャート: データ 85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/>
      </xdr:nvSpPr>
      <xdr:spPr>
        <a:xfrm>
          <a:off x="28575" y="23136225"/>
          <a:ext cx="1343025" cy="161924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カレンダーマスタ</a:t>
          </a:r>
        </a:p>
      </xdr:txBody>
    </xdr:sp>
    <xdr:clientData/>
  </xdr:twoCellAnchor>
  <xdr:twoCellAnchor>
    <xdr:from>
      <xdr:col>4</xdr:col>
      <xdr:colOff>137246</xdr:colOff>
      <xdr:row>63</xdr:row>
      <xdr:rowOff>74005</xdr:rowOff>
    </xdr:from>
    <xdr:to>
      <xdr:col>14</xdr:col>
      <xdr:colOff>80096</xdr:colOff>
      <xdr:row>67</xdr:row>
      <xdr:rowOff>83530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/>
      </xdr:nvSpPr>
      <xdr:spPr>
        <a:xfrm>
          <a:off x="899246" y="23667430"/>
          <a:ext cx="1847850" cy="771525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処理⑦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「業務</a:t>
          </a:r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_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作業マッピング」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テーブル作成</a:t>
          </a:r>
        </a:p>
      </xdr:txBody>
    </xdr:sp>
    <xdr:clientData/>
  </xdr:twoCellAnchor>
  <xdr:twoCellAnchor>
    <xdr:from>
      <xdr:col>4</xdr:col>
      <xdr:colOff>137246</xdr:colOff>
      <xdr:row>68</xdr:row>
      <xdr:rowOff>119957</xdr:rowOff>
    </xdr:from>
    <xdr:to>
      <xdr:col>14</xdr:col>
      <xdr:colOff>80096</xdr:colOff>
      <xdr:row>72</xdr:row>
      <xdr:rowOff>129482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/>
      </xdr:nvSpPr>
      <xdr:spPr>
        <a:xfrm>
          <a:off x="899246" y="24665882"/>
          <a:ext cx="1847850" cy="771525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処理⑧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「親課題</a:t>
          </a:r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API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データ」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テーブル作成</a:t>
          </a:r>
        </a:p>
      </xdr:txBody>
    </xdr:sp>
    <xdr:clientData/>
  </xdr:twoCellAnchor>
  <xdr:twoCellAnchor>
    <xdr:from>
      <xdr:col>4</xdr:col>
      <xdr:colOff>137246</xdr:colOff>
      <xdr:row>79</xdr:row>
      <xdr:rowOff>173761</xdr:rowOff>
    </xdr:from>
    <xdr:to>
      <xdr:col>14</xdr:col>
      <xdr:colOff>80096</xdr:colOff>
      <xdr:row>83</xdr:row>
      <xdr:rowOff>183286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/>
      </xdr:nvSpPr>
      <xdr:spPr>
        <a:xfrm>
          <a:off x="899246" y="26815186"/>
          <a:ext cx="1847850" cy="771525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処理⑩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「業務</a:t>
          </a:r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_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作業マッピング」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課題</a:t>
          </a:r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ID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上書き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103909</xdr:colOff>
      <xdr:row>73</xdr:row>
      <xdr:rowOff>165909</xdr:rowOff>
    </xdr:from>
    <xdr:to>
      <xdr:col>14</xdr:col>
      <xdr:colOff>113434</xdr:colOff>
      <xdr:row>78</xdr:row>
      <xdr:rowOff>137334</xdr:rowOff>
    </xdr:to>
    <xdr:sp macro="" textlink="">
      <xdr:nvSpPr>
        <xdr:cNvPr id="90" name="フローチャート: 判断 89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/>
      </xdr:nvSpPr>
      <xdr:spPr>
        <a:xfrm>
          <a:off x="865909" y="25664334"/>
          <a:ext cx="1914525" cy="923925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処理⑨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親課題追加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13</xdr:col>
      <xdr:colOff>38099</xdr:colOff>
      <xdr:row>74</xdr:row>
      <xdr:rowOff>19050</xdr:rowOff>
    </xdr:from>
    <xdr:to>
      <xdr:col>17</xdr:col>
      <xdr:colOff>85722</xdr:colOff>
      <xdr:row>84</xdr:row>
      <xdr:rowOff>57150</xdr:rowOff>
    </xdr:to>
    <xdr:sp macro="" textlink="">
      <xdr:nvSpPr>
        <xdr:cNvPr id="91" name="左カーブ矢印 90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/>
      </xdr:nvSpPr>
      <xdr:spPr>
        <a:xfrm rot="10800000" flipH="1">
          <a:off x="2514599" y="25707975"/>
          <a:ext cx="809623" cy="1943100"/>
        </a:xfrm>
        <a:prstGeom prst="curved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137246</xdr:colOff>
      <xdr:row>85</xdr:row>
      <xdr:rowOff>29213</xdr:rowOff>
    </xdr:from>
    <xdr:to>
      <xdr:col>14</xdr:col>
      <xdr:colOff>80096</xdr:colOff>
      <xdr:row>89</xdr:row>
      <xdr:rowOff>38738</xdr:rowOff>
    </xdr:to>
    <xdr:sp macro="" textlink="">
      <xdr:nvSpPr>
        <xdr:cNvPr id="92" name="正方形/長方形 91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/>
      </xdr:nvSpPr>
      <xdr:spPr>
        <a:xfrm>
          <a:off x="899246" y="27813638"/>
          <a:ext cx="1847850" cy="771525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処理⑪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「子課題</a:t>
          </a:r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API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データ」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テーブル作成</a:t>
          </a:r>
        </a:p>
      </xdr:txBody>
    </xdr:sp>
    <xdr:clientData/>
  </xdr:twoCellAnchor>
  <xdr:twoCellAnchor>
    <xdr:from>
      <xdr:col>4</xdr:col>
      <xdr:colOff>103909</xdr:colOff>
      <xdr:row>90</xdr:row>
      <xdr:rowOff>75165</xdr:rowOff>
    </xdr:from>
    <xdr:to>
      <xdr:col>14</xdr:col>
      <xdr:colOff>113434</xdr:colOff>
      <xdr:row>95</xdr:row>
      <xdr:rowOff>46590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/>
      </xdr:nvSpPr>
      <xdr:spPr>
        <a:xfrm>
          <a:off x="865909" y="28812090"/>
          <a:ext cx="1914525" cy="923925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処理⑫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子課題追加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4</xdr:col>
      <xdr:colOff>137246</xdr:colOff>
      <xdr:row>104</xdr:row>
      <xdr:rowOff>167987</xdr:rowOff>
    </xdr:from>
    <xdr:to>
      <xdr:col>14</xdr:col>
      <xdr:colOff>80096</xdr:colOff>
      <xdr:row>107</xdr:row>
      <xdr:rowOff>53687</xdr:rowOff>
    </xdr:to>
    <xdr:sp macro="" textlink="">
      <xdr:nvSpPr>
        <xdr:cNvPr id="94" name="正方形/長方形 93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/>
      </xdr:nvSpPr>
      <xdr:spPr>
        <a:xfrm>
          <a:off x="899246" y="31571912"/>
          <a:ext cx="1847850" cy="457200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13</xdr:col>
      <xdr:colOff>38100</xdr:colOff>
      <xdr:row>90</xdr:row>
      <xdr:rowOff>19049</xdr:rowOff>
    </xdr:from>
    <xdr:to>
      <xdr:col>15</xdr:col>
      <xdr:colOff>171449</xdr:colOff>
      <xdr:row>94</xdr:row>
      <xdr:rowOff>142874</xdr:rowOff>
    </xdr:to>
    <xdr:sp macro="" textlink="">
      <xdr:nvSpPr>
        <xdr:cNvPr id="95" name="左カーブ矢印 94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/>
      </xdr:nvSpPr>
      <xdr:spPr>
        <a:xfrm rot="10800000" flipH="1">
          <a:off x="2514600" y="28755974"/>
          <a:ext cx="514349" cy="885825"/>
        </a:xfrm>
        <a:prstGeom prst="curved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108671</xdr:colOff>
      <xdr:row>20</xdr:row>
      <xdr:rowOff>47625</xdr:rowOff>
    </xdr:from>
    <xdr:to>
      <xdr:col>9</xdr:col>
      <xdr:colOff>108672</xdr:colOff>
      <xdr:row>21</xdr:row>
      <xdr:rowOff>84052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CxnSpPr>
          <a:stCxn id="64" idx="2"/>
          <a:endCxn id="142" idx="0"/>
        </xdr:cNvCxnSpPr>
      </xdr:nvCxnSpPr>
      <xdr:spPr>
        <a:xfrm>
          <a:off x="1823171" y="15449550"/>
          <a:ext cx="1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32</xdr:row>
      <xdr:rowOff>25225</xdr:rowOff>
    </xdr:from>
    <xdr:to>
      <xdr:col>9</xdr:col>
      <xdr:colOff>108672</xdr:colOff>
      <xdr:row>33</xdr:row>
      <xdr:rowOff>61652</xdr:rowOff>
    </xdr:to>
    <xdr:cxnSp macro="">
      <xdr:nvCxnSpPr>
        <xdr:cNvPr id="97" name="直線矢印コネクタ 96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CxnSpPr>
          <a:stCxn id="66" idx="2"/>
          <a:endCxn id="65" idx="0"/>
        </xdr:cNvCxnSpPr>
      </xdr:nvCxnSpPr>
      <xdr:spPr>
        <a:xfrm>
          <a:off x="1823172" y="17713150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38</xdr:row>
      <xdr:rowOff>14025</xdr:rowOff>
    </xdr:from>
    <xdr:to>
      <xdr:col>9</xdr:col>
      <xdr:colOff>108672</xdr:colOff>
      <xdr:row>39</xdr:row>
      <xdr:rowOff>50452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CxnSpPr>
          <a:stCxn id="65" idx="2"/>
          <a:endCxn id="72" idx="0"/>
        </xdr:cNvCxnSpPr>
      </xdr:nvCxnSpPr>
      <xdr:spPr>
        <a:xfrm>
          <a:off x="1823172" y="18844950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26</xdr:row>
      <xdr:rowOff>36425</xdr:rowOff>
    </xdr:from>
    <xdr:to>
      <xdr:col>9</xdr:col>
      <xdr:colOff>108672</xdr:colOff>
      <xdr:row>27</xdr:row>
      <xdr:rowOff>72852</xdr:rowOff>
    </xdr:to>
    <xdr:cxnSp macro="">
      <xdr:nvCxnSpPr>
        <xdr:cNvPr id="99" name="直線矢印コネクタ 98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CxnSpPr>
          <a:stCxn id="142" idx="2"/>
          <a:endCxn id="66" idx="0"/>
        </xdr:cNvCxnSpPr>
      </xdr:nvCxnSpPr>
      <xdr:spPr>
        <a:xfrm>
          <a:off x="1823172" y="16581350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46</xdr:row>
      <xdr:rowOff>21876</xdr:rowOff>
    </xdr:from>
    <xdr:to>
      <xdr:col>9</xdr:col>
      <xdr:colOff>108672</xdr:colOff>
      <xdr:row>47</xdr:row>
      <xdr:rowOff>58303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CxnSpPr>
          <a:stCxn id="72" idx="2"/>
          <a:endCxn id="73" idx="0"/>
        </xdr:cNvCxnSpPr>
      </xdr:nvCxnSpPr>
      <xdr:spPr>
        <a:xfrm>
          <a:off x="1823172" y="20376801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54</xdr:row>
      <xdr:rowOff>29727</xdr:rowOff>
    </xdr:from>
    <xdr:to>
      <xdr:col>9</xdr:col>
      <xdr:colOff>108672</xdr:colOff>
      <xdr:row>55</xdr:row>
      <xdr:rowOff>66154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CxnSpPr>
          <a:stCxn id="73" idx="2"/>
          <a:endCxn id="74" idx="0"/>
        </xdr:cNvCxnSpPr>
      </xdr:nvCxnSpPr>
      <xdr:spPr>
        <a:xfrm>
          <a:off x="1823172" y="21908652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62</xdr:row>
      <xdr:rowOff>37578</xdr:rowOff>
    </xdr:from>
    <xdr:to>
      <xdr:col>9</xdr:col>
      <xdr:colOff>108672</xdr:colOff>
      <xdr:row>63</xdr:row>
      <xdr:rowOff>74005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CxnSpPr>
          <a:stCxn id="74" idx="2"/>
          <a:endCxn id="87" idx="0"/>
        </xdr:cNvCxnSpPr>
      </xdr:nvCxnSpPr>
      <xdr:spPr>
        <a:xfrm flipH="1">
          <a:off x="1823171" y="23440503"/>
          <a:ext cx="1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67</xdr:row>
      <xdr:rowOff>83530</xdr:rowOff>
    </xdr:from>
    <xdr:to>
      <xdr:col>9</xdr:col>
      <xdr:colOff>108671</xdr:colOff>
      <xdr:row>68</xdr:row>
      <xdr:rowOff>119957</xdr:rowOff>
    </xdr:to>
    <xdr:cxnSp macro="">
      <xdr:nvCxnSpPr>
        <xdr:cNvPr id="103" name="直線矢印コネクタ 102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CxnSpPr>
          <a:stCxn id="87" idx="2"/>
          <a:endCxn id="88" idx="0"/>
        </xdr:cNvCxnSpPr>
      </xdr:nvCxnSpPr>
      <xdr:spPr>
        <a:xfrm>
          <a:off x="1823171" y="24438955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72</xdr:row>
      <xdr:rowOff>129482</xdr:rowOff>
    </xdr:from>
    <xdr:to>
      <xdr:col>9</xdr:col>
      <xdr:colOff>108672</xdr:colOff>
      <xdr:row>73</xdr:row>
      <xdr:rowOff>165909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CxnSpPr>
          <a:stCxn id="88" idx="2"/>
          <a:endCxn id="90" idx="0"/>
        </xdr:cNvCxnSpPr>
      </xdr:nvCxnSpPr>
      <xdr:spPr>
        <a:xfrm>
          <a:off x="1823171" y="25437407"/>
          <a:ext cx="1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78</xdr:row>
      <xdr:rowOff>137334</xdr:rowOff>
    </xdr:from>
    <xdr:to>
      <xdr:col>9</xdr:col>
      <xdr:colOff>108672</xdr:colOff>
      <xdr:row>79</xdr:row>
      <xdr:rowOff>173761</xdr:rowOff>
    </xdr:to>
    <xdr:cxnSp macro="">
      <xdr:nvCxnSpPr>
        <xdr:cNvPr id="105" name="直線矢印コネクタ 104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CxnSpPr>
          <a:stCxn id="90" idx="2"/>
          <a:endCxn id="89" idx="0"/>
        </xdr:cNvCxnSpPr>
      </xdr:nvCxnSpPr>
      <xdr:spPr>
        <a:xfrm flipH="1">
          <a:off x="1823171" y="26588259"/>
          <a:ext cx="1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83</xdr:row>
      <xdr:rowOff>183286</xdr:rowOff>
    </xdr:from>
    <xdr:to>
      <xdr:col>9</xdr:col>
      <xdr:colOff>108671</xdr:colOff>
      <xdr:row>85</xdr:row>
      <xdr:rowOff>29213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CxnSpPr>
          <a:stCxn id="89" idx="2"/>
          <a:endCxn id="92" idx="0"/>
        </xdr:cNvCxnSpPr>
      </xdr:nvCxnSpPr>
      <xdr:spPr>
        <a:xfrm>
          <a:off x="1823171" y="27586711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89</xdr:row>
      <xdr:rowOff>38738</xdr:rowOff>
    </xdr:from>
    <xdr:to>
      <xdr:col>9</xdr:col>
      <xdr:colOff>108672</xdr:colOff>
      <xdr:row>90</xdr:row>
      <xdr:rowOff>75165</xdr:rowOff>
    </xdr:to>
    <xdr:cxnSp macro="">
      <xdr:nvCxnSpPr>
        <xdr:cNvPr id="107" name="直線矢印コネクタ 106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CxnSpPr>
          <a:stCxn id="92" idx="2"/>
          <a:endCxn id="93" idx="0"/>
        </xdr:cNvCxnSpPr>
      </xdr:nvCxnSpPr>
      <xdr:spPr>
        <a:xfrm>
          <a:off x="1823171" y="28585163"/>
          <a:ext cx="1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95</xdr:row>
      <xdr:rowOff>46590</xdr:rowOff>
    </xdr:from>
    <xdr:to>
      <xdr:col>9</xdr:col>
      <xdr:colOff>108672</xdr:colOff>
      <xdr:row>96</xdr:row>
      <xdr:rowOff>83017</xdr:rowOff>
    </xdr:to>
    <xdr:cxnSp macro="">
      <xdr:nvCxnSpPr>
        <xdr:cNvPr id="108" name="直線矢印コネクタ 107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CxnSpPr>
          <a:stCxn id="93" idx="2"/>
          <a:endCxn id="145" idx="0"/>
        </xdr:cNvCxnSpPr>
      </xdr:nvCxnSpPr>
      <xdr:spPr>
        <a:xfrm>
          <a:off x="1823172" y="29736015"/>
          <a:ext cx="0" cy="22692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108671</xdr:colOff>
      <xdr:row>103</xdr:row>
      <xdr:rowOff>19050</xdr:rowOff>
    </xdr:from>
    <xdr:to>
      <xdr:col>9</xdr:col>
      <xdr:colOff>108672</xdr:colOff>
      <xdr:row>104</xdr:row>
      <xdr:rowOff>167987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CxnSpPr>
          <a:stCxn id="145" idx="2"/>
          <a:endCxn id="94" idx="0"/>
        </xdr:cNvCxnSpPr>
      </xdr:nvCxnSpPr>
      <xdr:spPr>
        <a:xfrm flipH="1">
          <a:off x="1823171" y="31232475"/>
          <a:ext cx="1" cy="339437"/>
        </a:xfrm>
        <a:prstGeom prst="straightConnector1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169285</xdr:colOff>
      <xdr:row>63</xdr:row>
      <xdr:rowOff>16452</xdr:rowOff>
    </xdr:from>
    <xdr:to>
      <xdr:col>25</xdr:col>
      <xdr:colOff>35935</xdr:colOff>
      <xdr:row>66</xdr:row>
      <xdr:rowOff>35502</xdr:rowOff>
    </xdr:to>
    <xdr:sp macro="" textlink="">
      <xdr:nvSpPr>
        <xdr:cNvPr id="110" name="正方形/長方形 109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/>
      </xdr:nvSpPr>
      <xdr:spPr>
        <a:xfrm>
          <a:off x="3788785" y="23609877"/>
          <a:ext cx="1009650" cy="590550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エラーログ出力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処理中断</a:t>
          </a:r>
        </a:p>
      </xdr:txBody>
    </xdr:sp>
    <xdr:clientData/>
  </xdr:twoCellAnchor>
  <xdr:twoCellAnchor>
    <xdr:from>
      <xdr:col>14</xdr:col>
      <xdr:colOff>113434</xdr:colOff>
      <xdr:row>75</xdr:row>
      <xdr:rowOff>129886</xdr:rowOff>
    </xdr:from>
    <xdr:to>
      <xdr:col>18</xdr:col>
      <xdr:colOff>115166</xdr:colOff>
      <xdr:row>76</xdr:row>
      <xdr:rowOff>56372</xdr:rowOff>
    </xdr:to>
    <xdr:cxnSp macro="">
      <xdr:nvCxnSpPr>
        <xdr:cNvPr id="111" name="カギ線コネクタ 110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CxnSpPr>
          <a:stCxn id="90" idx="3"/>
          <a:endCxn id="149" idx="2"/>
        </xdr:cNvCxnSpPr>
      </xdr:nvCxnSpPr>
      <xdr:spPr>
        <a:xfrm flipV="1">
          <a:off x="2780434" y="26009311"/>
          <a:ext cx="763732" cy="116986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113434</xdr:colOff>
      <xdr:row>91</xdr:row>
      <xdr:rowOff>114301</xdr:rowOff>
    </xdr:from>
    <xdr:to>
      <xdr:col>18</xdr:col>
      <xdr:colOff>175778</xdr:colOff>
      <xdr:row>92</xdr:row>
      <xdr:rowOff>156128</xdr:rowOff>
    </xdr:to>
    <xdr:cxnSp macro="">
      <xdr:nvCxnSpPr>
        <xdr:cNvPr id="112" name="カギ線コネクタ 111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CxnSpPr>
          <a:stCxn id="93" idx="3"/>
          <a:endCxn id="147" idx="2"/>
        </xdr:cNvCxnSpPr>
      </xdr:nvCxnSpPr>
      <xdr:spPr>
        <a:xfrm flipV="1">
          <a:off x="2780434" y="29041726"/>
          <a:ext cx="824344" cy="232327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113434</xdr:colOff>
      <xdr:row>58</xdr:row>
      <xdr:rowOff>147116</xdr:rowOff>
    </xdr:from>
    <xdr:to>
      <xdr:col>22</xdr:col>
      <xdr:colOff>102610</xdr:colOff>
      <xdr:row>63</xdr:row>
      <xdr:rowOff>16452</xdr:rowOff>
    </xdr:to>
    <xdr:cxnSp macro="">
      <xdr:nvCxnSpPr>
        <xdr:cNvPr id="113" name="カギ線コネクタ 112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CxnSpPr>
          <a:stCxn id="74" idx="3"/>
          <a:endCxn id="110" idx="0"/>
        </xdr:cNvCxnSpPr>
      </xdr:nvCxnSpPr>
      <xdr:spPr>
        <a:xfrm>
          <a:off x="2780434" y="22788041"/>
          <a:ext cx="1513176" cy="821836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113434</xdr:colOff>
      <xdr:row>50</xdr:row>
      <xdr:rowOff>139265</xdr:rowOff>
    </xdr:from>
    <xdr:to>
      <xdr:col>22</xdr:col>
      <xdr:colOff>102610</xdr:colOff>
      <xdr:row>63</xdr:row>
      <xdr:rowOff>16452</xdr:rowOff>
    </xdr:to>
    <xdr:cxnSp macro="">
      <xdr:nvCxnSpPr>
        <xdr:cNvPr id="114" name="カギ線コネクタ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CxnSpPr>
          <a:stCxn id="73" idx="3"/>
          <a:endCxn id="110" idx="0"/>
        </xdr:cNvCxnSpPr>
      </xdr:nvCxnSpPr>
      <xdr:spPr>
        <a:xfrm>
          <a:off x="2780434" y="21256190"/>
          <a:ext cx="1513176" cy="2353687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113434</xdr:colOff>
      <xdr:row>42</xdr:row>
      <xdr:rowOff>131414</xdr:rowOff>
    </xdr:from>
    <xdr:to>
      <xdr:col>22</xdr:col>
      <xdr:colOff>102610</xdr:colOff>
      <xdr:row>63</xdr:row>
      <xdr:rowOff>16452</xdr:rowOff>
    </xdr:to>
    <xdr:cxnSp macro="">
      <xdr:nvCxnSpPr>
        <xdr:cNvPr id="115" name="カギ線コネクタ 114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CxnSpPr>
          <a:stCxn id="72" idx="3"/>
          <a:endCxn id="110" idx="0"/>
        </xdr:cNvCxnSpPr>
      </xdr:nvCxnSpPr>
      <xdr:spPr>
        <a:xfrm>
          <a:off x="2780434" y="19724339"/>
          <a:ext cx="1513176" cy="3885538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113434</xdr:colOff>
      <xdr:row>35</xdr:row>
      <xdr:rowOff>133089</xdr:rowOff>
    </xdr:from>
    <xdr:to>
      <xdr:col>22</xdr:col>
      <xdr:colOff>102610</xdr:colOff>
      <xdr:row>63</xdr:row>
      <xdr:rowOff>16452</xdr:rowOff>
    </xdr:to>
    <xdr:cxnSp macro="">
      <xdr:nvCxnSpPr>
        <xdr:cNvPr id="116" name="カギ線コネクタ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CxnSpPr>
          <a:stCxn id="65" idx="3"/>
          <a:endCxn id="110" idx="0"/>
        </xdr:cNvCxnSpPr>
      </xdr:nvCxnSpPr>
      <xdr:spPr>
        <a:xfrm>
          <a:off x="2780434" y="18392514"/>
          <a:ext cx="1513176" cy="5217363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108672</xdr:colOff>
      <xdr:row>29</xdr:row>
      <xdr:rowOff>144289</xdr:rowOff>
    </xdr:from>
    <xdr:to>
      <xdr:col>14</xdr:col>
      <xdr:colOff>113434</xdr:colOff>
      <xdr:row>39</xdr:row>
      <xdr:rowOff>50452</xdr:rowOff>
    </xdr:to>
    <xdr:cxnSp macro="">
      <xdr:nvCxnSpPr>
        <xdr:cNvPr id="117" name="カギ線コネクタ 116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CxnSpPr>
          <a:stCxn id="66" idx="3"/>
          <a:endCxn id="72" idx="0"/>
        </xdr:cNvCxnSpPr>
      </xdr:nvCxnSpPr>
      <xdr:spPr>
        <a:xfrm flipH="1">
          <a:off x="1823172" y="17260714"/>
          <a:ext cx="957262" cy="1811163"/>
        </a:xfrm>
        <a:prstGeom prst="bentConnector4">
          <a:avLst>
            <a:gd name="adj1" fmla="val -60968"/>
            <a:gd name="adj2" fmla="val 98825"/>
          </a:avLst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0</xdr:col>
      <xdr:colOff>28575</xdr:colOff>
      <xdr:row>56</xdr:row>
      <xdr:rowOff>38100</xdr:rowOff>
    </xdr:from>
    <xdr:to>
      <xdr:col>5</xdr:col>
      <xdr:colOff>154149</xdr:colOff>
      <xdr:row>59</xdr:row>
      <xdr:rowOff>177799</xdr:rowOff>
    </xdr:to>
    <xdr:grpSp>
      <xdr:nvGrpSpPr>
        <xdr:cNvPr id="118" name="グループ化 117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GrpSpPr/>
      </xdr:nvGrpSpPr>
      <xdr:grpSpPr>
        <a:xfrm>
          <a:off x="28575" y="10877550"/>
          <a:ext cx="1078074" cy="711199"/>
          <a:chOff x="0" y="18611850"/>
          <a:chExt cx="1078074" cy="711199"/>
        </a:xfrm>
      </xdr:grpSpPr>
      <xdr:sp macro="" textlink="">
        <xdr:nvSpPr>
          <xdr:cNvPr id="119" name="雲 118">
            <a:extLst>
              <a:ext uri="{FF2B5EF4-FFF2-40B4-BE49-F238E27FC236}">
                <a16:creationId xmlns:a16="http://schemas.microsoft.com/office/drawing/2014/main" id="{00000000-0008-0000-0600-000077000000}"/>
              </a:ext>
            </a:extLst>
          </xdr:cNvPr>
          <xdr:cNvSpPr/>
        </xdr:nvSpPr>
        <xdr:spPr>
          <a:xfrm>
            <a:off x="0" y="18611850"/>
            <a:ext cx="1038225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Kintone</a:t>
            </a:r>
            <a:endParaRPr kumimoji="1" lang="ja-JP" altLang="en-US" sz="1100"/>
          </a:p>
        </xdr:txBody>
      </xdr:sp>
      <xdr:grpSp>
        <xdr:nvGrpSpPr>
          <xdr:cNvPr id="120" name="グループ化 119">
            <a:extLst>
              <a:ext uri="{FF2B5EF4-FFF2-40B4-BE49-F238E27FC236}">
                <a16:creationId xmlns:a16="http://schemas.microsoft.com/office/drawing/2014/main" id="{00000000-0008-0000-0600-000078000000}"/>
              </a:ext>
            </a:extLst>
          </xdr:cNvPr>
          <xdr:cNvGrpSpPr/>
        </xdr:nvGrpSpPr>
        <xdr:grpSpPr>
          <a:xfrm>
            <a:off x="647701" y="18935700"/>
            <a:ext cx="430373" cy="387349"/>
            <a:chOff x="2057400" y="3362325"/>
            <a:chExt cx="430373" cy="330199"/>
          </a:xfrm>
        </xdr:grpSpPr>
        <xdr:sp macro="" textlink="">
          <xdr:nvSpPr>
            <xdr:cNvPr id="121" name="右矢印 120">
              <a:extLst>
                <a:ext uri="{FF2B5EF4-FFF2-40B4-BE49-F238E27FC236}">
                  <a16:creationId xmlns:a16="http://schemas.microsoft.com/office/drawing/2014/main" id="{00000000-0008-0000-0600-000079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122" name="右矢印 121">
              <a:extLst>
                <a:ext uri="{FF2B5EF4-FFF2-40B4-BE49-F238E27FC236}">
                  <a16:creationId xmlns:a16="http://schemas.microsoft.com/office/drawing/2014/main" id="{00000000-0008-0000-0600-00007A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</xdr:grpSp>
    </xdr:grpSp>
    <xdr:clientData/>
  </xdr:twoCellAnchor>
  <xdr:twoCellAnchor>
    <xdr:from>
      <xdr:col>0</xdr:col>
      <xdr:colOff>85725</xdr:colOff>
      <xdr:row>73</xdr:row>
      <xdr:rowOff>112671</xdr:rowOff>
    </xdr:from>
    <xdr:to>
      <xdr:col>5</xdr:col>
      <xdr:colOff>154148</xdr:colOff>
      <xdr:row>77</xdr:row>
      <xdr:rowOff>147595</xdr:rowOff>
    </xdr:to>
    <xdr:grpSp>
      <xdr:nvGrpSpPr>
        <xdr:cNvPr id="123" name="グループ化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GrpSpPr/>
      </xdr:nvGrpSpPr>
      <xdr:grpSpPr>
        <a:xfrm>
          <a:off x="85725" y="14190621"/>
          <a:ext cx="1020923" cy="796924"/>
          <a:chOff x="28575" y="14706600"/>
          <a:chExt cx="1020923" cy="796924"/>
        </a:xfrm>
      </xdr:grpSpPr>
      <xdr:sp macro="" textlink="">
        <xdr:nvSpPr>
          <xdr:cNvPr id="124" name="雲 123">
            <a:extLst>
              <a:ext uri="{FF2B5EF4-FFF2-40B4-BE49-F238E27FC236}">
                <a16:creationId xmlns:a16="http://schemas.microsoft.com/office/drawing/2014/main" id="{00000000-0008-0000-0600-00007C000000}"/>
              </a:ext>
            </a:extLst>
          </xdr:cNvPr>
          <xdr:cNvSpPr/>
        </xdr:nvSpPr>
        <xdr:spPr>
          <a:xfrm>
            <a:off x="28575" y="14706600"/>
            <a:ext cx="952500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Backlog</a:t>
            </a:r>
            <a:endParaRPr kumimoji="1" lang="ja-JP" altLang="en-US" sz="1100"/>
          </a:p>
        </xdr:txBody>
      </xdr:sp>
      <xdr:grpSp>
        <xdr:nvGrpSpPr>
          <xdr:cNvPr id="125" name="グループ化 124">
            <a:extLst>
              <a:ext uri="{FF2B5EF4-FFF2-40B4-BE49-F238E27FC236}">
                <a16:creationId xmlns:a16="http://schemas.microsoft.com/office/drawing/2014/main" id="{00000000-0008-0000-0600-00007D000000}"/>
              </a:ext>
            </a:extLst>
          </xdr:cNvPr>
          <xdr:cNvGrpSpPr/>
        </xdr:nvGrpSpPr>
        <xdr:grpSpPr>
          <a:xfrm>
            <a:off x="619125" y="15116175"/>
            <a:ext cx="430373" cy="387349"/>
            <a:chOff x="2057400" y="3362325"/>
            <a:chExt cx="430373" cy="330199"/>
          </a:xfrm>
        </xdr:grpSpPr>
        <xdr:sp macro="" textlink="">
          <xdr:nvSpPr>
            <xdr:cNvPr id="126" name="右矢印 125">
              <a:extLst>
                <a:ext uri="{FF2B5EF4-FFF2-40B4-BE49-F238E27FC236}">
                  <a16:creationId xmlns:a16="http://schemas.microsoft.com/office/drawing/2014/main" id="{00000000-0008-0000-0600-00007E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127" name="右矢印 126">
              <a:extLst>
                <a:ext uri="{FF2B5EF4-FFF2-40B4-BE49-F238E27FC236}">
                  <a16:creationId xmlns:a16="http://schemas.microsoft.com/office/drawing/2014/main" id="{00000000-0008-0000-0600-00007F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</xdr:grpSp>
    </xdr:grpSp>
    <xdr:clientData/>
  </xdr:twoCellAnchor>
  <xdr:twoCellAnchor>
    <xdr:from>
      <xdr:col>0</xdr:col>
      <xdr:colOff>60614</xdr:colOff>
      <xdr:row>90</xdr:row>
      <xdr:rowOff>3463</xdr:rowOff>
    </xdr:from>
    <xdr:to>
      <xdr:col>5</xdr:col>
      <xdr:colOff>129037</xdr:colOff>
      <xdr:row>94</xdr:row>
      <xdr:rowOff>38387</xdr:rowOff>
    </xdr:to>
    <xdr:grpSp>
      <xdr:nvGrpSpPr>
        <xdr:cNvPr id="128" name="グループ化 127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GrpSpPr/>
      </xdr:nvGrpSpPr>
      <xdr:grpSpPr>
        <a:xfrm>
          <a:off x="60614" y="17319913"/>
          <a:ext cx="1020923" cy="796924"/>
          <a:chOff x="28575" y="14706600"/>
          <a:chExt cx="1020923" cy="796924"/>
        </a:xfrm>
      </xdr:grpSpPr>
      <xdr:sp macro="" textlink="">
        <xdr:nvSpPr>
          <xdr:cNvPr id="129" name="雲 128">
            <a:extLst>
              <a:ext uri="{FF2B5EF4-FFF2-40B4-BE49-F238E27FC236}">
                <a16:creationId xmlns:a16="http://schemas.microsoft.com/office/drawing/2014/main" id="{00000000-0008-0000-0600-000081000000}"/>
              </a:ext>
            </a:extLst>
          </xdr:cNvPr>
          <xdr:cNvSpPr/>
        </xdr:nvSpPr>
        <xdr:spPr>
          <a:xfrm>
            <a:off x="28575" y="14706600"/>
            <a:ext cx="952500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Backlog</a:t>
            </a:r>
            <a:endParaRPr kumimoji="1" lang="ja-JP" altLang="en-US" sz="1100"/>
          </a:p>
        </xdr:txBody>
      </xdr:sp>
      <xdr:grpSp>
        <xdr:nvGrpSpPr>
          <xdr:cNvPr id="130" name="グループ化 129">
            <a:extLst>
              <a:ext uri="{FF2B5EF4-FFF2-40B4-BE49-F238E27FC236}">
                <a16:creationId xmlns:a16="http://schemas.microsoft.com/office/drawing/2014/main" id="{00000000-0008-0000-0600-000082000000}"/>
              </a:ext>
            </a:extLst>
          </xdr:cNvPr>
          <xdr:cNvGrpSpPr/>
        </xdr:nvGrpSpPr>
        <xdr:grpSpPr>
          <a:xfrm>
            <a:off x="619125" y="15116175"/>
            <a:ext cx="430373" cy="387349"/>
            <a:chOff x="2057400" y="3362325"/>
            <a:chExt cx="430373" cy="330199"/>
          </a:xfrm>
        </xdr:grpSpPr>
        <xdr:sp macro="" textlink="">
          <xdr:nvSpPr>
            <xdr:cNvPr id="131" name="右矢印 130">
              <a:extLst>
                <a:ext uri="{FF2B5EF4-FFF2-40B4-BE49-F238E27FC236}">
                  <a16:creationId xmlns:a16="http://schemas.microsoft.com/office/drawing/2014/main" id="{00000000-0008-0000-0600-000083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132" name="右矢印 131">
              <a:extLst>
                <a:ext uri="{FF2B5EF4-FFF2-40B4-BE49-F238E27FC236}">
                  <a16:creationId xmlns:a16="http://schemas.microsoft.com/office/drawing/2014/main" id="{00000000-0008-0000-0600-000084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</xdr:grpSp>
    </xdr:grpSp>
    <xdr:clientData/>
  </xdr:twoCellAnchor>
  <xdr:oneCellAnchor>
    <xdr:from>
      <xdr:col>14</xdr:col>
      <xdr:colOff>114300</xdr:colOff>
      <xdr:row>78</xdr:row>
      <xdr:rowOff>19050</xdr:rowOff>
    </xdr:from>
    <xdr:ext cx="992772" cy="473463"/>
    <xdr:sp macro="" textlink="">
      <xdr:nvSpPr>
        <xdr:cNvPr id="133" name="テキスト ボックス 132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/>
      </xdr:nvSpPr>
      <xdr:spPr>
        <a:xfrm>
          <a:off x="2781300" y="26469975"/>
          <a:ext cx="992772" cy="473463"/>
        </a:xfrm>
        <a:prstGeom prst="rect">
          <a:avLst/>
        </a:prstGeom>
      </xdr:spPr>
      <xdr:style>
        <a:lnRef idx="3">
          <a:schemeClr val="lt1"/>
        </a:lnRef>
        <a:fillRef idx="1">
          <a:schemeClr val="accent1"/>
        </a:fillRef>
        <a:effectRef idx="1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親課題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データ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レコード分ループ</a:t>
          </a:r>
        </a:p>
      </xdr:txBody>
    </xdr:sp>
    <xdr:clientData/>
  </xdr:oneCellAnchor>
  <xdr:oneCellAnchor>
    <xdr:from>
      <xdr:col>14</xdr:col>
      <xdr:colOff>9525</xdr:colOff>
      <xdr:row>93</xdr:row>
      <xdr:rowOff>0</xdr:rowOff>
    </xdr:from>
    <xdr:ext cx="992772" cy="473463"/>
    <xdr:sp macro="" textlink="">
      <xdr:nvSpPr>
        <xdr:cNvPr id="134" name="テキスト ボックス 133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/>
      </xdr:nvSpPr>
      <xdr:spPr>
        <a:xfrm>
          <a:off x="2676525" y="29308425"/>
          <a:ext cx="992772" cy="473463"/>
        </a:xfrm>
        <a:prstGeom prst="rect">
          <a:avLst/>
        </a:prstGeom>
      </xdr:spPr>
      <xdr:style>
        <a:lnRef idx="3">
          <a:schemeClr val="lt1"/>
        </a:lnRef>
        <a:fillRef idx="1">
          <a:schemeClr val="accent1"/>
        </a:fillRef>
        <a:effectRef idx="1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子課題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データ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レコード分ループ</a:t>
          </a:r>
        </a:p>
      </xdr:txBody>
    </xdr:sp>
    <xdr:clientData/>
  </xdr:oneCellAnchor>
  <xdr:twoCellAnchor>
    <xdr:from>
      <xdr:col>0</xdr:col>
      <xdr:colOff>113434</xdr:colOff>
      <xdr:row>30</xdr:row>
      <xdr:rowOff>77065</xdr:rowOff>
    </xdr:from>
    <xdr:to>
      <xdr:col>8</xdr:col>
      <xdr:colOff>69273</xdr:colOff>
      <xdr:row>31</xdr:row>
      <xdr:rowOff>25976</xdr:rowOff>
    </xdr:to>
    <xdr:sp macro="" textlink="">
      <xdr:nvSpPr>
        <xdr:cNvPr id="135" name="フローチャート: データ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/>
      </xdr:nvSpPr>
      <xdr:spPr>
        <a:xfrm>
          <a:off x="113434" y="17383990"/>
          <a:ext cx="1479839" cy="139411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レスポンス</a:t>
          </a:r>
          <a:r>
            <a:rPr kumimoji="1" lang="en-US" altLang="ja-JP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.id</a:t>
          </a:r>
        </a:p>
      </xdr:txBody>
    </xdr:sp>
    <xdr:clientData/>
  </xdr:twoCellAnchor>
  <xdr:twoCellAnchor>
    <xdr:from>
      <xdr:col>0</xdr:col>
      <xdr:colOff>0</xdr:colOff>
      <xdr:row>25</xdr:row>
      <xdr:rowOff>122093</xdr:rowOff>
    </xdr:from>
    <xdr:to>
      <xdr:col>5</xdr:col>
      <xdr:colOff>68423</xdr:colOff>
      <xdr:row>29</xdr:row>
      <xdr:rowOff>157017</xdr:rowOff>
    </xdr:to>
    <xdr:grpSp>
      <xdr:nvGrpSpPr>
        <xdr:cNvPr id="136" name="グループ化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GrpSpPr/>
      </xdr:nvGrpSpPr>
      <xdr:grpSpPr>
        <a:xfrm>
          <a:off x="0" y="5056043"/>
          <a:ext cx="1020923" cy="796924"/>
          <a:chOff x="28575" y="14706600"/>
          <a:chExt cx="1020923" cy="796924"/>
        </a:xfrm>
      </xdr:grpSpPr>
      <xdr:sp macro="" textlink="">
        <xdr:nvSpPr>
          <xdr:cNvPr id="137" name="雲 136">
            <a:extLst>
              <a:ext uri="{FF2B5EF4-FFF2-40B4-BE49-F238E27FC236}">
                <a16:creationId xmlns:a16="http://schemas.microsoft.com/office/drawing/2014/main" id="{00000000-0008-0000-0600-000089000000}"/>
              </a:ext>
            </a:extLst>
          </xdr:cNvPr>
          <xdr:cNvSpPr/>
        </xdr:nvSpPr>
        <xdr:spPr>
          <a:xfrm>
            <a:off x="28575" y="14706600"/>
            <a:ext cx="952500" cy="638175"/>
          </a:xfrm>
          <a:prstGeom prst="cloud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1100"/>
              <a:t>Backlog</a:t>
            </a:r>
            <a:endParaRPr kumimoji="1" lang="ja-JP" altLang="en-US" sz="1100"/>
          </a:p>
        </xdr:txBody>
      </xdr:sp>
      <xdr:grpSp>
        <xdr:nvGrpSpPr>
          <xdr:cNvPr id="138" name="グループ化 137">
            <a:extLst>
              <a:ext uri="{FF2B5EF4-FFF2-40B4-BE49-F238E27FC236}">
                <a16:creationId xmlns:a16="http://schemas.microsoft.com/office/drawing/2014/main" id="{00000000-0008-0000-0600-00008A000000}"/>
              </a:ext>
            </a:extLst>
          </xdr:cNvPr>
          <xdr:cNvGrpSpPr/>
        </xdr:nvGrpSpPr>
        <xdr:grpSpPr>
          <a:xfrm>
            <a:off x="619125" y="15116175"/>
            <a:ext cx="430373" cy="387349"/>
            <a:chOff x="2057400" y="3362325"/>
            <a:chExt cx="430373" cy="330199"/>
          </a:xfrm>
        </xdr:grpSpPr>
        <xdr:sp macro="" textlink="">
          <xdr:nvSpPr>
            <xdr:cNvPr id="139" name="右矢印 138">
              <a:extLst>
                <a:ext uri="{FF2B5EF4-FFF2-40B4-BE49-F238E27FC236}">
                  <a16:creationId xmlns:a16="http://schemas.microsoft.com/office/drawing/2014/main" id="{00000000-0008-0000-0600-00008B000000}"/>
                </a:ext>
              </a:extLst>
            </xdr:cNvPr>
            <xdr:cNvSpPr/>
          </xdr:nvSpPr>
          <xdr:spPr>
            <a:xfrm>
              <a:off x="2085975" y="33623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  <xdr:sp macro="" textlink="">
          <xdr:nvSpPr>
            <xdr:cNvPr id="140" name="右矢印 139">
              <a:extLst>
                <a:ext uri="{FF2B5EF4-FFF2-40B4-BE49-F238E27FC236}">
                  <a16:creationId xmlns:a16="http://schemas.microsoft.com/office/drawing/2014/main" id="{00000000-0008-0000-0600-00008C000000}"/>
                </a:ext>
              </a:extLst>
            </xdr:cNvPr>
            <xdr:cNvSpPr/>
          </xdr:nvSpPr>
          <xdr:spPr>
            <a:xfrm rot="10800000">
              <a:off x="2057400" y="3514725"/>
              <a:ext cx="401798" cy="177799"/>
            </a:xfrm>
            <a:prstGeom prst="rightArrow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800"/>
            </a:p>
          </xdr:txBody>
        </xdr:sp>
      </xdr:grpSp>
    </xdr:grpSp>
    <xdr:clientData/>
  </xdr:twoCellAnchor>
  <xdr:twoCellAnchor>
    <xdr:from>
      <xdr:col>0</xdr:col>
      <xdr:colOff>43296</xdr:colOff>
      <xdr:row>36</xdr:row>
      <xdr:rowOff>51955</xdr:rowOff>
    </xdr:from>
    <xdr:to>
      <xdr:col>7</xdr:col>
      <xdr:colOff>189635</xdr:colOff>
      <xdr:row>37</xdr:row>
      <xdr:rowOff>866</xdr:rowOff>
    </xdr:to>
    <xdr:sp macro="" textlink="">
      <xdr:nvSpPr>
        <xdr:cNvPr id="141" name="フローチャート: データ 140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/>
      </xdr:nvSpPr>
      <xdr:spPr>
        <a:xfrm>
          <a:off x="43296" y="18501880"/>
          <a:ext cx="1479839" cy="139411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Bcklog</a:t>
          </a:r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連携管理</a:t>
          </a:r>
          <a:r>
            <a:rPr kumimoji="1" lang="en-US" altLang="ja-JP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DB</a:t>
          </a:r>
          <a:endParaRPr kumimoji="1" lang="ja-JP" altLang="en-US" sz="6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103909</xdr:colOff>
      <xdr:row>21</xdr:row>
      <xdr:rowOff>84052</xdr:rowOff>
    </xdr:from>
    <xdr:to>
      <xdr:col>14</xdr:col>
      <xdr:colOff>113434</xdr:colOff>
      <xdr:row>26</xdr:row>
      <xdr:rowOff>36425</xdr:rowOff>
    </xdr:to>
    <xdr:sp macro="" textlink="">
      <xdr:nvSpPr>
        <xdr:cNvPr id="142" name="フローチャート: 判断 141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/>
      </xdr:nvSpPr>
      <xdr:spPr>
        <a:xfrm>
          <a:off x="865909" y="15676477"/>
          <a:ext cx="1914525" cy="904873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処理①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対象年・月チェック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14</xdr:col>
      <xdr:colOff>113434</xdr:colOff>
      <xdr:row>23</xdr:row>
      <xdr:rowOff>155489</xdr:rowOff>
    </xdr:from>
    <xdr:to>
      <xdr:col>22</xdr:col>
      <xdr:colOff>71871</xdr:colOff>
      <xdr:row>24</xdr:row>
      <xdr:rowOff>181841</xdr:rowOff>
    </xdr:to>
    <xdr:cxnSp macro="">
      <xdr:nvCxnSpPr>
        <xdr:cNvPr id="143" name="カギ線コネクタ 142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CxnSpPr>
          <a:stCxn id="142" idx="3"/>
          <a:endCxn id="144" idx="0"/>
        </xdr:cNvCxnSpPr>
      </xdr:nvCxnSpPr>
      <xdr:spPr>
        <a:xfrm>
          <a:off x="2780434" y="16128914"/>
          <a:ext cx="1482437" cy="216852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138546</xdr:colOff>
      <xdr:row>24</xdr:row>
      <xdr:rowOff>181841</xdr:rowOff>
    </xdr:from>
    <xdr:to>
      <xdr:col>25</xdr:col>
      <xdr:colOff>5196</xdr:colOff>
      <xdr:row>28</xdr:row>
      <xdr:rowOff>10391</xdr:rowOff>
    </xdr:to>
    <xdr:sp macro="" textlink="">
      <xdr:nvSpPr>
        <xdr:cNvPr id="144" name="正方形/長方形 143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/>
      </xdr:nvSpPr>
      <xdr:spPr>
        <a:xfrm>
          <a:off x="3323706" y="4929101"/>
          <a:ext cx="872490" cy="590550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メッセージ出力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処理中断</a:t>
          </a:r>
        </a:p>
      </xdr:txBody>
    </xdr:sp>
    <xdr:clientData/>
  </xdr:twoCellAnchor>
  <xdr:twoCellAnchor>
    <xdr:from>
      <xdr:col>4</xdr:col>
      <xdr:colOff>103909</xdr:colOff>
      <xdr:row>96</xdr:row>
      <xdr:rowOff>83017</xdr:rowOff>
    </xdr:from>
    <xdr:to>
      <xdr:col>14</xdr:col>
      <xdr:colOff>113434</xdr:colOff>
      <xdr:row>103</xdr:row>
      <xdr:rowOff>19050</xdr:rowOff>
    </xdr:to>
    <xdr:sp macro="" textlink="">
      <xdr:nvSpPr>
        <xdr:cNvPr id="145" name="フローチャート: 判断 144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/>
      </xdr:nvSpPr>
      <xdr:spPr>
        <a:xfrm>
          <a:off x="865909" y="29962942"/>
          <a:ext cx="1914525" cy="1269533"/>
        </a:xfrm>
        <a:prstGeom prst="flowChartDecision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処理⑬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  <a:p>
          <a:pPr algn="ctr"/>
          <a:r>
            <a:rPr kumimoji="1" lang="en-US" altLang="ja-JP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Backlog</a:t>
          </a:r>
          <a:r>
            <a:rPr kumimoji="1" lang="ja-JP" altLang="en-US" sz="800">
              <a:solidFill>
                <a:sysClr val="windowText" lastClr="000000"/>
              </a:solidFill>
              <a:latin typeface="Yu Gothic UI Semilight" panose="020B0400000000000000" pitchFamily="50" charset="-128"/>
              <a:ea typeface="Yu Gothic UI Semilight" panose="020B0400000000000000" pitchFamily="50" charset="-128"/>
            </a:rPr>
            <a:t>連携履歴　登録</a:t>
          </a:r>
          <a:endParaRPr kumimoji="1" lang="en-US" altLang="ja-JP" sz="800">
            <a:solidFill>
              <a:sysClr val="windowText" lastClr="000000"/>
            </a:solidFill>
            <a:latin typeface="Yu Gothic UI Semilight" panose="020B0400000000000000" pitchFamily="50" charset="-128"/>
            <a:ea typeface="Yu Gothic UI Semilight" panose="020B0400000000000000" pitchFamily="50" charset="-128"/>
          </a:endParaRPr>
        </a:p>
      </xdr:txBody>
    </xdr:sp>
    <xdr:clientData/>
  </xdr:twoCellAnchor>
  <xdr:twoCellAnchor>
    <xdr:from>
      <xdr:col>0</xdr:col>
      <xdr:colOff>77932</xdr:colOff>
      <xdr:row>20</xdr:row>
      <xdr:rowOff>181841</xdr:rowOff>
    </xdr:from>
    <xdr:to>
      <xdr:col>8</xdr:col>
      <xdr:colOff>33771</xdr:colOff>
      <xdr:row>23</xdr:row>
      <xdr:rowOff>87457</xdr:rowOff>
    </xdr:to>
    <xdr:sp macro="" textlink="">
      <xdr:nvSpPr>
        <xdr:cNvPr id="146" name="フローチャート: データ 145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/>
      </xdr:nvSpPr>
      <xdr:spPr>
        <a:xfrm>
          <a:off x="77932" y="15583766"/>
          <a:ext cx="1479839" cy="477116"/>
        </a:xfrm>
        <a:prstGeom prst="flowChartInputOutput">
          <a:avLst/>
        </a:prstGeom>
        <a:solidFill>
          <a:sysClr val="window" lastClr="FFFFFF"/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Backlog</a:t>
          </a:r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連携履歴</a:t>
          </a:r>
          <a:endParaRPr kumimoji="1" lang="en-US" altLang="ja-JP" sz="6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en-US" altLang="ja-JP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.</a:t>
          </a:r>
          <a:r>
            <a:rPr kumimoji="1" lang="ja-JP" altLang="en-US" sz="6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更新フラグ</a:t>
          </a:r>
          <a:endParaRPr kumimoji="1" lang="en-US" altLang="ja-JP" sz="6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51953</xdr:colOff>
      <xdr:row>87</xdr:row>
      <xdr:rowOff>60613</xdr:rowOff>
    </xdr:from>
    <xdr:to>
      <xdr:col>21</xdr:col>
      <xdr:colOff>109103</xdr:colOff>
      <xdr:row>91</xdr:row>
      <xdr:rowOff>114301</xdr:rowOff>
    </xdr:to>
    <xdr:sp macro="" textlink="">
      <xdr:nvSpPr>
        <xdr:cNvPr id="147" name="正方形/長方形 146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/>
      </xdr:nvSpPr>
      <xdr:spPr>
        <a:xfrm>
          <a:off x="3099953" y="28226038"/>
          <a:ext cx="1009650" cy="815688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10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回リトライ後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API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ログ出力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処理スキップ</a:t>
          </a:r>
        </a:p>
      </xdr:txBody>
    </xdr:sp>
    <xdr:clientData/>
  </xdr:twoCellAnchor>
  <xdr:twoCellAnchor>
    <xdr:from>
      <xdr:col>14</xdr:col>
      <xdr:colOff>113434</xdr:colOff>
      <xdr:row>66</xdr:row>
      <xdr:rowOff>35502</xdr:rowOff>
    </xdr:from>
    <xdr:to>
      <xdr:col>22</xdr:col>
      <xdr:colOff>102610</xdr:colOff>
      <xdr:row>99</xdr:row>
      <xdr:rowOff>146284</xdr:rowOff>
    </xdr:to>
    <xdr:cxnSp macro="">
      <xdr:nvCxnSpPr>
        <xdr:cNvPr id="148" name="カギ線コネクタ 147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CxnSpPr>
          <a:stCxn id="145" idx="3"/>
          <a:endCxn id="110" idx="2"/>
        </xdr:cNvCxnSpPr>
      </xdr:nvCxnSpPr>
      <xdr:spPr>
        <a:xfrm flipV="1">
          <a:off x="2780434" y="24200427"/>
          <a:ext cx="1513176" cy="6397282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181841</xdr:colOff>
      <xdr:row>71</xdr:row>
      <xdr:rowOff>129886</xdr:rowOff>
    </xdr:from>
    <xdr:to>
      <xdr:col>21</xdr:col>
      <xdr:colOff>48491</xdr:colOff>
      <xdr:row>75</xdr:row>
      <xdr:rowOff>129886</xdr:rowOff>
    </xdr:to>
    <xdr:sp macro="" textlink="">
      <xdr:nvSpPr>
        <xdr:cNvPr id="149" name="正方形/長方形 148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/>
      </xdr:nvSpPr>
      <xdr:spPr>
        <a:xfrm>
          <a:off x="3039341" y="25247311"/>
          <a:ext cx="1009650" cy="762000"/>
        </a:xfrm>
        <a:prstGeom prst="rect">
          <a:avLst/>
        </a:prstGeom>
        <a:solidFill>
          <a:sysClr val="window" lastClr="FFFFFF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10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回リトライ後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en-US" altLang="ja-JP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API</a:t>
          </a:r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ログ出力</a:t>
          </a:r>
          <a:endParaRPr kumimoji="1" lang="en-US" altLang="ja-JP" sz="8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処理スキップ</a:t>
          </a:r>
        </a:p>
      </xdr:txBody>
    </xdr:sp>
    <xdr:clientData/>
  </xdr:twoCellAnchor>
  <xdr:twoCellAnchor>
    <xdr:from>
      <xdr:col>9</xdr:col>
      <xdr:colOff>108672</xdr:colOff>
      <xdr:row>90</xdr:row>
      <xdr:rowOff>8659</xdr:rowOff>
    </xdr:from>
    <xdr:to>
      <xdr:col>16</xdr:col>
      <xdr:colOff>60614</xdr:colOff>
      <xdr:row>90</xdr:row>
      <xdr:rowOff>75165</xdr:rowOff>
    </xdr:to>
    <xdr:cxnSp macro="">
      <xdr:nvCxnSpPr>
        <xdr:cNvPr id="150" name="カギ線コネクタ 149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CxnSpPr>
          <a:endCxn id="93" idx="0"/>
        </xdr:cNvCxnSpPr>
      </xdr:nvCxnSpPr>
      <xdr:spPr>
        <a:xfrm rot="10800000" flipV="1">
          <a:off x="1823172" y="28745584"/>
          <a:ext cx="1285442" cy="66506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108673</xdr:colOff>
      <xdr:row>73</xdr:row>
      <xdr:rowOff>129885</xdr:rowOff>
    </xdr:from>
    <xdr:to>
      <xdr:col>15</xdr:col>
      <xdr:colOff>181842</xdr:colOff>
      <xdr:row>73</xdr:row>
      <xdr:rowOff>165908</xdr:rowOff>
    </xdr:to>
    <xdr:cxnSp macro="">
      <xdr:nvCxnSpPr>
        <xdr:cNvPr id="151" name="カギ線コネクタ 150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CxnSpPr>
          <a:stCxn id="149" idx="1"/>
          <a:endCxn id="90" idx="0"/>
        </xdr:cNvCxnSpPr>
      </xdr:nvCxnSpPr>
      <xdr:spPr>
        <a:xfrm rot="10800000" flipV="1">
          <a:off x="1823173" y="25628310"/>
          <a:ext cx="1216169" cy="36023"/>
        </a:xfrm>
        <a:prstGeom prst="bentConnector2">
          <a:avLst/>
        </a:prstGeom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161925</xdr:rowOff>
    </xdr:from>
    <xdr:to>
      <xdr:col>7</xdr:col>
      <xdr:colOff>67732</xdr:colOff>
      <xdr:row>3</xdr:row>
      <xdr:rowOff>45509</xdr:rowOff>
    </xdr:to>
    <xdr:sp macro="" textlink="">
      <xdr:nvSpPr>
        <xdr:cNvPr id="424" name="正方形/長方形 423">
          <a:extLst>
            <a:ext uri="{FF2B5EF4-FFF2-40B4-BE49-F238E27FC236}">
              <a16:creationId xmlns:a16="http://schemas.microsoft.com/office/drawing/2014/main" id="{870A6917-EC7B-4474-8BF8-AFEA6995475F}"/>
            </a:ext>
          </a:extLst>
        </xdr:cNvPr>
        <xdr:cNvSpPr/>
      </xdr:nvSpPr>
      <xdr:spPr>
        <a:xfrm>
          <a:off x="381000" y="523875"/>
          <a:ext cx="1020232" cy="24553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テーブル：内部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26457</xdr:colOff>
      <xdr:row>2</xdr:row>
      <xdr:rowOff>2</xdr:rowOff>
    </xdr:from>
    <xdr:to>
      <xdr:col>22</xdr:col>
      <xdr:colOff>114299</xdr:colOff>
      <xdr:row>3</xdr:row>
      <xdr:rowOff>55034</xdr:rowOff>
    </xdr:to>
    <xdr:sp macro="" textlink="">
      <xdr:nvSpPr>
        <xdr:cNvPr id="425" name="角丸四角形 28">
          <a:extLst>
            <a:ext uri="{FF2B5EF4-FFF2-40B4-BE49-F238E27FC236}">
              <a16:creationId xmlns:a16="http://schemas.microsoft.com/office/drawing/2014/main" id="{B7F8F32F-2F29-46CF-BB87-03C155528EC4}"/>
            </a:ext>
          </a:extLst>
        </xdr:cNvPr>
        <xdr:cNvSpPr/>
      </xdr:nvSpPr>
      <xdr:spPr>
        <a:xfrm>
          <a:off x="3455457" y="542927"/>
          <a:ext cx="849842" cy="236007"/>
        </a:xfrm>
        <a:prstGeom prst="roundRect">
          <a:avLst>
            <a:gd name="adj" fmla="val 50000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処理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77256</xdr:colOff>
      <xdr:row>2</xdr:row>
      <xdr:rowOff>2</xdr:rowOff>
    </xdr:from>
    <xdr:to>
      <xdr:col>17</xdr:col>
      <xdr:colOff>7407</xdr:colOff>
      <xdr:row>3</xdr:row>
      <xdr:rowOff>64560</xdr:rowOff>
    </xdr:to>
    <xdr:sp macro="" textlink="">
      <xdr:nvSpPr>
        <xdr:cNvPr id="426" name="正方形/長方形 425">
          <a:extLst>
            <a:ext uri="{FF2B5EF4-FFF2-40B4-BE49-F238E27FC236}">
              <a16:creationId xmlns:a16="http://schemas.microsoft.com/office/drawing/2014/main" id="{7EADB584-B912-4AEF-B2AF-412ED4A7283C}"/>
            </a:ext>
          </a:extLst>
        </xdr:cNvPr>
        <xdr:cNvSpPr/>
      </xdr:nvSpPr>
      <xdr:spPr>
        <a:xfrm>
          <a:off x="1601256" y="542927"/>
          <a:ext cx="1644651" cy="245533"/>
        </a:xfrm>
        <a:prstGeom prst="rect">
          <a:avLst/>
        </a:prstGeom>
        <a:ln w="19050">
          <a:solidFill>
            <a:srgbClr val="C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テーブル：モニタリングデータ</a:t>
          </a:r>
        </a:p>
      </xdr:txBody>
    </xdr:sp>
    <xdr:clientData/>
  </xdr:twoCellAnchor>
  <xdr:twoCellAnchor>
    <xdr:from>
      <xdr:col>14</xdr:col>
      <xdr:colOff>51860</xdr:colOff>
      <xdr:row>18</xdr:row>
      <xdr:rowOff>155577</xdr:rowOff>
    </xdr:from>
    <xdr:to>
      <xdr:col>19</xdr:col>
      <xdr:colOff>136524</xdr:colOff>
      <xdr:row>21</xdr:row>
      <xdr:rowOff>4418</xdr:rowOff>
    </xdr:to>
    <xdr:sp macro="" textlink="">
      <xdr:nvSpPr>
        <xdr:cNvPr id="427" name="正方形/長方形 426">
          <a:extLst>
            <a:ext uri="{FF2B5EF4-FFF2-40B4-BE49-F238E27FC236}">
              <a16:creationId xmlns:a16="http://schemas.microsoft.com/office/drawing/2014/main" id="{061AFAFE-EBC9-459E-9D6A-66F6598B02C7}"/>
            </a:ext>
          </a:extLst>
        </xdr:cNvPr>
        <xdr:cNvSpPr/>
      </xdr:nvSpPr>
      <xdr:spPr>
        <a:xfrm>
          <a:off x="2718860" y="3841752"/>
          <a:ext cx="1037164" cy="391766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T00_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受注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73031</xdr:colOff>
      <xdr:row>18</xdr:row>
      <xdr:rowOff>155575</xdr:rowOff>
    </xdr:from>
    <xdr:to>
      <xdr:col>28</xdr:col>
      <xdr:colOff>9530</xdr:colOff>
      <xdr:row>21</xdr:row>
      <xdr:rowOff>5475</xdr:rowOff>
    </xdr:to>
    <xdr:sp macro="" textlink="">
      <xdr:nvSpPr>
        <xdr:cNvPr id="428" name="正方形/長方形 427">
          <a:extLst>
            <a:ext uri="{FF2B5EF4-FFF2-40B4-BE49-F238E27FC236}">
              <a16:creationId xmlns:a16="http://schemas.microsoft.com/office/drawing/2014/main" id="{74C9D1D0-3B90-454C-840C-52D2B61E58FD}"/>
            </a:ext>
          </a:extLst>
        </xdr:cNvPr>
        <xdr:cNvSpPr/>
      </xdr:nvSpPr>
      <xdr:spPr>
        <a:xfrm>
          <a:off x="4264031" y="3841750"/>
          <a:ext cx="1079499" cy="392825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79387</xdr:colOff>
      <xdr:row>18</xdr:row>
      <xdr:rowOff>155573</xdr:rowOff>
    </xdr:from>
    <xdr:to>
      <xdr:col>39</xdr:col>
      <xdr:colOff>47629</xdr:colOff>
      <xdr:row>21</xdr:row>
      <xdr:rowOff>6532</xdr:rowOff>
    </xdr:to>
    <xdr:sp macro="" textlink="">
      <xdr:nvSpPr>
        <xdr:cNvPr id="429" name="正方形/長方形 428">
          <a:extLst>
            <a:ext uri="{FF2B5EF4-FFF2-40B4-BE49-F238E27FC236}">
              <a16:creationId xmlns:a16="http://schemas.microsoft.com/office/drawing/2014/main" id="{9F23B027-D949-474A-A450-1EAE2C145C79}"/>
            </a:ext>
          </a:extLst>
        </xdr:cNvPr>
        <xdr:cNvSpPr/>
      </xdr:nvSpPr>
      <xdr:spPr>
        <a:xfrm>
          <a:off x="5794387" y="3841748"/>
          <a:ext cx="1682742" cy="39388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_Q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積み上げ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70918</xdr:colOff>
      <xdr:row>18</xdr:row>
      <xdr:rowOff>28569</xdr:rowOff>
    </xdr:from>
    <xdr:to>
      <xdr:col>47</xdr:col>
      <xdr:colOff>113246</xdr:colOff>
      <xdr:row>21</xdr:row>
      <xdr:rowOff>131231</xdr:rowOff>
    </xdr:to>
    <xdr:sp macro="" textlink="">
      <xdr:nvSpPr>
        <xdr:cNvPr id="430" name="角丸四角形 307">
          <a:extLst>
            <a:ext uri="{FF2B5EF4-FFF2-40B4-BE49-F238E27FC236}">
              <a16:creationId xmlns:a16="http://schemas.microsoft.com/office/drawing/2014/main" id="{622430A1-733B-406C-A910-6EFA16B8AB1C}"/>
            </a:ext>
          </a:extLst>
        </xdr:cNvPr>
        <xdr:cNvSpPr/>
      </xdr:nvSpPr>
      <xdr:spPr>
        <a:xfrm>
          <a:off x="7881418" y="3714744"/>
          <a:ext cx="1185328" cy="645587"/>
        </a:xfrm>
        <a:prstGeom prst="roundRect">
          <a:avLst>
            <a:gd name="adj" fmla="val 21353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中間テーブル</a:t>
          </a:r>
          <a:endParaRPr kumimoji="1" lang="en-US" altLang="ja-JP" sz="10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（データ集計）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73025</xdr:colOff>
      <xdr:row>12</xdr:row>
      <xdr:rowOff>73026</xdr:rowOff>
    </xdr:from>
    <xdr:to>
      <xdr:col>28</xdr:col>
      <xdr:colOff>17991</xdr:colOff>
      <xdr:row>14</xdr:row>
      <xdr:rowOff>42335</xdr:rowOff>
    </xdr:to>
    <xdr:sp macro="" textlink="">
      <xdr:nvSpPr>
        <xdr:cNvPr id="431" name="正方形/長方形 430">
          <a:extLst>
            <a:ext uri="{FF2B5EF4-FFF2-40B4-BE49-F238E27FC236}">
              <a16:creationId xmlns:a16="http://schemas.microsoft.com/office/drawing/2014/main" id="{1DEFC32A-D8D5-46E1-B8EA-785C03A2887D}"/>
            </a:ext>
          </a:extLst>
        </xdr:cNvPr>
        <xdr:cNvSpPr/>
      </xdr:nvSpPr>
      <xdr:spPr>
        <a:xfrm>
          <a:off x="4264025" y="2673351"/>
          <a:ext cx="1087966" cy="331259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全ローデータ</a:t>
          </a:r>
        </a:p>
      </xdr:txBody>
    </xdr:sp>
    <xdr:clientData/>
  </xdr:twoCellAnchor>
  <xdr:twoCellAnchor>
    <xdr:from>
      <xdr:col>15</xdr:col>
      <xdr:colOff>102659</xdr:colOff>
      <xdr:row>12</xdr:row>
      <xdr:rowOff>66675</xdr:rowOff>
    </xdr:from>
    <xdr:to>
      <xdr:col>21</xdr:col>
      <xdr:colOff>47625</xdr:colOff>
      <xdr:row>14</xdr:row>
      <xdr:rowOff>35983</xdr:rowOff>
    </xdr:to>
    <xdr:sp macro="" textlink="">
      <xdr:nvSpPr>
        <xdr:cNvPr id="432" name="正方形/長方形 431">
          <a:extLst>
            <a:ext uri="{FF2B5EF4-FFF2-40B4-BE49-F238E27FC236}">
              <a16:creationId xmlns:a16="http://schemas.microsoft.com/office/drawing/2014/main" id="{0C40B704-DD2D-462F-B218-B908423F8007}"/>
            </a:ext>
          </a:extLst>
        </xdr:cNvPr>
        <xdr:cNvSpPr/>
      </xdr:nvSpPr>
      <xdr:spPr>
        <a:xfrm>
          <a:off x="2960159" y="2667000"/>
          <a:ext cx="1087966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原稿ローデータ</a:t>
          </a:r>
        </a:p>
      </xdr:txBody>
    </xdr:sp>
    <xdr:clientData/>
  </xdr:twoCellAnchor>
  <xdr:twoCellAnchor>
    <xdr:from>
      <xdr:col>56</xdr:col>
      <xdr:colOff>144993</xdr:colOff>
      <xdr:row>14</xdr:row>
      <xdr:rowOff>53977</xdr:rowOff>
    </xdr:from>
    <xdr:to>
      <xdr:col>61</xdr:col>
      <xdr:colOff>142874</xdr:colOff>
      <xdr:row>19</xdr:row>
      <xdr:rowOff>30689</xdr:rowOff>
    </xdr:to>
    <xdr:grpSp>
      <xdr:nvGrpSpPr>
        <xdr:cNvPr id="433" name="グループ化 432">
          <a:extLst>
            <a:ext uri="{FF2B5EF4-FFF2-40B4-BE49-F238E27FC236}">
              <a16:creationId xmlns:a16="http://schemas.microsoft.com/office/drawing/2014/main" id="{BD656A62-AEE2-44CA-815A-73F413A7F602}"/>
            </a:ext>
          </a:extLst>
        </xdr:cNvPr>
        <xdr:cNvGrpSpPr/>
      </xdr:nvGrpSpPr>
      <xdr:grpSpPr>
        <a:xfrm>
          <a:off x="10812993" y="2768602"/>
          <a:ext cx="950381" cy="881587"/>
          <a:chOff x="10181167" y="1492253"/>
          <a:chExt cx="952500" cy="881587"/>
        </a:xfrm>
      </xdr:grpSpPr>
      <xdr:grpSp>
        <xdr:nvGrpSpPr>
          <xdr:cNvPr id="434" name="グループ化 433">
            <a:extLst>
              <a:ext uri="{FF2B5EF4-FFF2-40B4-BE49-F238E27FC236}">
                <a16:creationId xmlns:a16="http://schemas.microsoft.com/office/drawing/2014/main" id="{44096AF2-EE60-433F-8497-79317FA58266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37" name="図 436">
              <a:extLst>
                <a:ext uri="{FF2B5EF4-FFF2-40B4-BE49-F238E27FC236}">
                  <a16:creationId xmlns:a16="http://schemas.microsoft.com/office/drawing/2014/main" id="{A96C403B-9CAA-4876-B02F-1F40E57858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38" name="テキスト ボックス 437">
              <a:extLst>
                <a:ext uri="{FF2B5EF4-FFF2-40B4-BE49-F238E27FC236}">
                  <a16:creationId xmlns:a16="http://schemas.microsoft.com/office/drawing/2014/main" id="{AFFB3DE9-A416-4F51-AB25-7C539433FD33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直販 レポート</a:t>
              </a:r>
            </a:p>
          </xdr:txBody>
        </xdr:sp>
      </xdr:grpSp>
      <xdr:pic>
        <xdr:nvPicPr>
          <xdr:cNvPr id="435" name="図 434">
            <a:extLst>
              <a:ext uri="{FF2B5EF4-FFF2-40B4-BE49-F238E27FC236}">
                <a16:creationId xmlns:a16="http://schemas.microsoft.com/office/drawing/2014/main" id="{E62A1E58-A8ED-415D-859A-E06AA81F8F3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36" name="図 435">
            <a:extLst>
              <a:ext uri="{FF2B5EF4-FFF2-40B4-BE49-F238E27FC236}">
                <a16:creationId xmlns:a16="http://schemas.microsoft.com/office/drawing/2014/main" id="{B5398698-45C6-4F02-A0B8-971E3F10925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56</xdr:col>
      <xdr:colOff>139703</xdr:colOff>
      <xdr:row>21</xdr:row>
      <xdr:rowOff>82553</xdr:rowOff>
    </xdr:from>
    <xdr:to>
      <xdr:col>61</xdr:col>
      <xdr:colOff>137585</xdr:colOff>
      <xdr:row>26</xdr:row>
      <xdr:rowOff>59265</xdr:rowOff>
    </xdr:to>
    <xdr:grpSp>
      <xdr:nvGrpSpPr>
        <xdr:cNvPr id="439" name="グループ化 438">
          <a:extLst>
            <a:ext uri="{FF2B5EF4-FFF2-40B4-BE49-F238E27FC236}">
              <a16:creationId xmlns:a16="http://schemas.microsoft.com/office/drawing/2014/main" id="{37FB9DBD-8347-4A9F-B486-A39C1724D9AE}"/>
            </a:ext>
          </a:extLst>
        </xdr:cNvPr>
        <xdr:cNvGrpSpPr/>
      </xdr:nvGrpSpPr>
      <xdr:grpSpPr>
        <a:xfrm>
          <a:off x="10807703" y="4064003"/>
          <a:ext cx="950382" cy="881587"/>
          <a:chOff x="10181167" y="1492253"/>
          <a:chExt cx="952500" cy="881587"/>
        </a:xfrm>
      </xdr:grpSpPr>
      <xdr:grpSp>
        <xdr:nvGrpSpPr>
          <xdr:cNvPr id="440" name="グループ化 439">
            <a:extLst>
              <a:ext uri="{FF2B5EF4-FFF2-40B4-BE49-F238E27FC236}">
                <a16:creationId xmlns:a16="http://schemas.microsoft.com/office/drawing/2014/main" id="{BBDF51AE-7179-4C21-BB61-BE2BC05E2A8C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43" name="図 442">
              <a:extLst>
                <a:ext uri="{FF2B5EF4-FFF2-40B4-BE49-F238E27FC236}">
                  <a16:creationId xmlns:a16="http://schemas.microsoft.com/office/drawing/2014/main" id="{C26348E1-1FCA-4019-9506-F9DE4D48E0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44" name="テキスト ボックス 443">
              <a:extLst>
                <a:ext uri="{FF2B5EF4-FFF2-40B4-BE49-F238E27FC236}">
                  <a16:creationId xmlns:a16="http://schemas.microsoft.com/office/drawing/2014/main" id="{E648F4AD-6D54-4C3B-864D-45D5AF741F79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パ</a:t>
              </a:r>
              <a:r>
                <a:rPr kumimoji="1" lang="en-US" altLang="ja-JP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U</a:t>
              </a:r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 レポート</a:t>
              </a:r>
            </a:p>
          </xdr:txBody>
        </xdr:sp>
      </xdr:grpSp>
      <xdr:pic>
        <xdr:nvPicPr>
          <xdr:cNvPr id="441" name="図 440">
            <a:extLst>
              <a:ext uri="{FF2B5EF4-FFF2-40B4-BE49-F238E27FC236}">
                <a16:creationId xmlns:a16="http://schemas.microsoft.com/office/drawing/2014/main" id="{2CEDBE13-AAAA-471A-8444-58D95DD346C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42" name="図 441">
            <a:extLst>
              <a:ext uri="{FF2B5EF4-FFF2-40B4-BE49-F238E27FC236}">
                <a16:creationId xmlns:a16="http://schemas.microsoft.com/office/drawing/2014/main" id="{98FE2FED-7B6F-4B8F-9F2F-225B235AFD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136526</xdr:colOff>
      <xdr:row>14</xdr:row>
      <xdr:rowOff>22226</xdr:rowOff>
    </xdr:from>
    <xdr:to>
      <xdr:col>11</xdr:col>
      <xdr:colOff>168275</xdr:colOff>
      <xdr:row>19</xdr:row>
      <xdr:rowOff>38101</xdr:rowOff>
    </xdr:to>
    <xdr:grpSp>
      <xdr:nvGrpSpPr>
        <xdr:cNvPr id="445" name="グループ化 444">
          <a:extLst>
            <a:ext uri="{FF2B5EF4-FFF2-40B4-BE49-F238E27FC236}">
              <a16:creationId xmlns:a16="http://schemas.microsoft.com/office/drawing/2014/main" id="{1BFEEAC7-964A-490C-B35C-54376AE6B79B}"/>
            </a:ext>
          </a:extLst>
        </xdr:cNvPr>
        <xdr:cNvGrpSpPr/>
      </xdr:nvGrpSpPr>
      <xdr:grpSpPr>
        <a:xfrm>
          <a:off x="517526" y="2736851"/>
          <a:ext cx="1746249" cy="920750"/>
          <a:chOff x="533898" y="2857500"/>
          <a:chExt cx="1432213" cy="920750"/>
        </a:xfrm>
      </xdr:grpSpPr>
      <xdr:sp macro="" textlink="">
        <xdr:nvSpPr>
          <xdr:cNvPr id="446" name="正方形/長方形 445">
            <a:extLst>
              <a:ext uri="{FF2B5EF4-FFF2-40B4-BE49-F238E27FC236}">
                <a16:creationId xmlns:a16="http://schemas.microsoft.com/office/drawing/2014/main" id="{626D7E7A-6208-4051-AE80-E0A1CBF1A1C1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47" name="グループ化 446">
            <a:extLst>
              <a:ext uri="{FF2B5EF4-FFF2-40B4-BE49-F238E27FC236}">
                <a16:creationId xmlns:a16="http://schemas.microsoft.com/office/drawing/2014/main" id="{2808BDC7-DE2C-4F9E-BB5C-FCBB3D229CC3}"/>
              </a:ext>
            </a:extLst>
          </xdr:cNvPr>
          <xdr:cNvGrpSpPr/>
        </xdr:nvGrpSpPr>
        <xdr:grpSpPr>
          <a:xfrm>
            <a:off x="533898" y="2895600"/>
            <a:ext cx="1432213" cy="882650"/>
            <a:chOff x="1147731" y="2355851"/>
            <a:chExt cx="1432213" cy="882650"/>
          </a:xfrm>
        </xdr:grpSpPr>
        <xdr:pic>
          <xdr:nvPicPr>
            <xdr:cNvPr id="448" name="図 447">
              <a:extLst>
                <a:ext uri="{FF2B5EF4-FFF2-40B4-BE49-F238E27FC236}">
                  <a16:creationId xmlns:a16="http://schemas.microsoft.com/office/drawing/2014/main" id="{A22AB4C1-E2B4-4A79-A528-2936D59D466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47320" y="2355851"/>
              <a:ext cx="615979" cy="663575"/>
            </a:xfrm>
            <a:prstGeom prst="rect">
              <a:avLst/>
            </a:prstGeom>
          </xdr:spPr>
        </xdr:pic>
        <xdr:sp macro="" textlink="">
          <xdr:nvSpPr>
            <xdr:cNvPr id="449" name="テキスト ボックス 448">
              <a:extLst>
                <a:ext uri="{FF2B5EF4-FFF2-40B4-BE49-F238E27FC236}">
                  <a16:creationId xmlns:a16="http://schemas.microsoft.com/office/drawing/2014/main" id="{9AC935CD-6361-4125-A856-550F491EEC37}"/>
                </a:ext>
              </a:extLst>
            </xdr:cNvPr>
            <xdr:cNvSpPr txBox="1"/>
          </xdr:nvSpPr>
          <xdr:spPr>
            <a:xfrm>
              <a:off x="1147731" y="2963334"/>
              <a:ext cx="1432213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</a:t>
              </a:r>
            </a:p>
          </xdr:txBody>
        </xdr:sp>
      </xdr:grpSp>
    </xdr:grpSp>
    <xdr:clientData/>
  </xdr:twoCellAnchor>
  <xdr:twoCellAnchor>
    <xdr:from>
      <xdr:col>19</xdr:col>
      <xdr:colOff>136524</xdr:colOff>
      <xdr:row>19</xdr:row>
      <xdr:rowOff>170485</xdr:rowOff>
    </xdr:from>
    <xdr:to>
      <xdr:col>22</xdr:col>
      <xdr:colOff>73031</xdr:colOff>
      <xdr:row>19</xdr:row>
      <xdr:rowOff>171013</xdr:rowOff>
    </xdr:to>
    <xdr:cxnSp macro="">
      <xdr:nvCxnSpPr>
        <xdr:cNvPr id="450" name="直線矢印コネクタ 449">
          <a:extLst>
            <a:ext uri="{FF2B5EF4-FFF2-40B4-BE49-F238E27FC236}">
              <a16:creationId xmlns:a16="http://schemas.microsoft.com/office/drawing/2014/main" id="{F8516F1A-0F23-4696-BDC4-549E39DC2411}"/>
            </a:ext>
          </a:extLst>
        </xdr:cNvPr>
        <xdr:cNvCxnSpPr>
          <a:stCxn id="427" idx="3"/>
          <a:endCxn id="428" idx="1"/>
        </xdr:cNvCxnSpPr>
      </xdr:nvCxnSpPr>
      <xdr:spPr>
        <a:xfrm>
          <a:off x="3756024" y="4037635"/>
          <a:ext cx="50800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9530</xdr:colOff>
      <xdr:row>19</xdr:row>
      <xdr:rowOff>171012</xdr:rowOff>
    </xdr:from>
    <xdr:to>
      <xdr:col>30</xdr:col>
      <xdr:colOff>79387</xdr:colOff>
      <xdr:row>19</xdr:row>
      <xdr:rowOff>171540</xdr:rowOff>
    </xdr:to>
    <xdr:cxnSp macro="">
      <xdr:nvCxnSpPr>
        <xdr:cNvPr id="451" name="直線矢印コネクタ 450">
          <a:extLst>
            <a:ext uri="{FF2B5EF4-FFF2-40B4-BE49-F238E27FC236}">
              <a16:creationId xmlns:a16="http://schemas.microsoft.com/office/drawing/2014/main" id="{6B9919BE-3257-4DEC-A72E-F466C4510F1D}"/>
            </a:ext>
          </a:extLst>
        </xdr:cNvPr>
        <xdr:cNvCxnSpPr>
          <a:stCxn id="428" idx="3"/>
          <a:endCxn id="429" idx="1"/>
        </xdr:cNvCxnSpPr>
      </xdr:nvCxnSpPr>
      <xdr:spPr>
        <a:xfrm>
          <a:off x="5343530" y="4038162"/>
          <a:ext cx="45085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47629</xdr:colOff>
      <xdr:row>19</xdr:row>
      <xdr:rowOff>170387</xdr:rowOff>
    </xdr:from>
    <xdr:to>
      <xdr:col>41</xdr:col>
      <xdr:colOff>70918</xdr:colOff>
      <xdr:row>19</xdr:row>
      <xdr:rowOff>171540</xdr:rowOff>
    </xdr:to>
    <xdr:cxnSp macro="">
      <xdr:nvCxnSpPr>
        <xdr:cNvPr id="452" name="直線矢印コネクタ 451">
          <a:extLst>
            <a:ext uri="{FF2B5EF4-FFF2-40B4-BE49-F238E27FC236}">
              <a16:creationId xmlns:a16="http://schemas.microsoft.com/office/drawing/2014/main" id="{0CAE85FD-6B0F-49B7-B6CB-AD5AAD95A00B}"/>
            </a:ext>
          </a:extLst>
        </xdr:cNvPr>
        <xdr:cNvCxnSpPr>
          <a:stCxn id="429" idx="3"/>
          <a:endCxn id="430" idx="1"/>
        </xdr:cNvCxnSpPr>
      </xdr:nvCxnSpPr>
      <xdr:spPr>
        <a:xfrm flipV="1">
          <a:off x="7477129" y="4037537"/>
          <a:ext cx="404289" cy="1153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75140</xdr:colOff>
      <xdr:row>14</xdr:row>
      <xdr:rowOff>35983</xdr:rowOff>
    </xdr:from>
    <xdr:to>
      <xdr:col>25</xdr:col>
      <xdr:colOff>41280</xdr:colOff>
      <xdr:row>18</xdr:row>
      <xdr:rowOff>155575</xdr:rowOff>
    </xdr:to>
    <xdr:cxnSp macro="">
      <xdr:nvCxnSpPr>
        <xdr:cNvPr id="453" name="カギ線コネクタ 357">
          <a:extLst>
            <a:ext uri="{FF2B5EF4-FFF2-40B4-BE49-F238E27FC236}">
              <a16:creationId xmlns:a16="http://schemas.microsoft.com/office/drawing/2014/main" id="{D70E04E4-BDF8-43D9-8587-9559232183F2}"/>
            </a:ext>
          </a:extLst>
        </xdr:cNvPr>
        <xdr:cNvCxnSpPr>
          <a:stCxn id="432" idx="2"/>
          <a:endCxn id="428" idx="0"/>
        </xdr:cNvCxnSpPr>
      </xdr:nvCxnSpPr>
      <xdr:spPr>
        <a:xfrm rot="16200000" flipH="1">
          <a:off x="3732214" y="2770184"/>
          <a:ext cx="843492" cy="129964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16</xdr:row>
      <xdr:rowOff>60522</xdr:rowOff>
    </xdr:from>
    <xdr:to>
      <xdr:col>50</xdr:col>
      <xdr:colOff>161937</xdr:colOff>
      <xdr:row>19</xdr:row>
      <xdr:rowOff>170387</xdr:rowOff>
    </xdr:to>
    <xdr:cxnSp macro="">
      <xdr:nvCxnSpPr>
        <xdr:cNvPr id="454" name="カギ線コネクタ 358">
          <a:extLst>
            <a:ext uri="{FF2B5EF4-FFF2-40B4-BE49-F238E27FC236}">
              <a16:creationId xmlns:a16="http://schemas.microsoft.com/office/drawing/2014/main" id="{5E2C4ADC-8D06-443E-BC83-F9319107F042}"/>
            </a:ext>
          </a:extLst>
        </xdr:cNvPr>
        <xdr:cNvCxnSpPr>
          <a:stCxn id="430" idx="3"/>
          <a:endCxn id="457" idx="1"/>
        </xdr:cNvCxnSpPr>
      </xdr:nvCxnSpPr>
      <xdr:spPr>
        <a:xfrm flipV="1">
          <a:off x="9066746" y="3384747"/>
          <a:ext cx="620191" cy="65279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19</xdr:row>
      <xdr:rowOff>170387</xdr:rowOff>
    </xdr:from>
    <xdr:to>
      <xdr:col>50</xdr:col>
      <xdr:colOff>166364</xdr:colOff>
      <xdr:row>23</xdr:row>
      <xdr:rowOff>77319</xdr:rowOff>
    </xdr:to>
    <xdr:cxnSp macro="">
      <xdr:nvCxnSpPr>
        <xdr:cNvPr id="455" name="カギ線コネクタ 359">
          <a:extLst>
            <a:ext uri="{FF2B5EF4-FFF2-40B4-BE49-F238E27FC236}">
              <a16:creationId xmlns:a16="http://schemas.microsoft.com/office/drawing/2014/main" id="{E6498F5C-6FF8-4F42-805C-261E795A80D7}"/>
            </a:ext>
          </a:extLst>
        </xdr:cNvPr>
        <xdr:cNvCxnSpPr>
          <a:stCxn id="430" idx="3"/>
          <a:endCxn id="460" idx="1"/>
        </xdr:cNvCxnSpPr>
      </xdr:nvCxnSpPr>
      <xdr:spPr>
        <a:xfrm>
          <a:off x="9066746" y="4037537"/>
          <a:ext cx="624618" cy="630832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94191</xdr:colOff>
      <xdr:row>14</xdr:row>
      <xdr:rowOff>138639</xdr:rowOff>
    </xdr:from>
    <xdr:to>
      <xdr:col>54</xdr:col>
      <xdr:colOff>189442</xdr:colOff>
      <xdr:row>18</xdr:row>
      <xdr:rowOff>148163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9428691" y="2853264"/>
          <a:ext cx="1047751" cy="733424"/>
          <a:chOff x="9175749" y="1661581"/>
          <a:chExt cx="1047750" cy="733424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9175749" y="2118780"/>
            <a:ext cx="104775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直販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49</xdr:col>
      <xdr:colOff>147107</xdr:colOff>
      <xdr:row>21</xdr:row>
      <xdr:rowOff>156630</xdr:rowOff>
    </xdr:from>
    <xdr:to>
      <xdr:col>55</xdr:col>
      <xdr:colOff>30692</xdr:colOff>
      <xdr:row>26</xdr:row>
      <xdr:rowOff>21848</xdr:rowOff>
    </xdr:to>
    <xdr:grpSp>
      <xdr:nvGrpSpPr>
        <xdr:cNvPr id="459" name="グループ化 458">
          <a:extLst>
            <a:ext uri="{FF2B5EF4-FFF2-40B4-BE49-F238E27FC236}">
              <a16:creationId xmlns:a16="http://schemas.microsoft.com/office/drawing/2014/main" id="{2ECADA1C-0A72-485B-BA14-BDE9F99872BB}"/>
            </a:ext>
          </a:extLst>
        </xdr:cNvPr>
        <xdr:cNvGrpSpPr/>
      </xdr:nvGrpSpPr>
      <xdr:grpSpPr>
        <a:xfrm>
          <a:off x="9481607" y="4138080"/>
          <a:ext cx="1026585" cy="770093"/>
          <a:chOff x="9224420" y="1661583"/>
          <a:chExt cx="1026584" cy="733422"/>
        </a:xfrm>
      </xdr:grpSpPr>
      <xdr:pic>
        <xdr:nvPicPr>
          <xdr:cNvPr id="460" name="図 459">
            <a:extLst>
              <a:ext uri="{FF2B5EF4-FFF2-40B4-BE49-F238E27FC236}">
                <a16:creationId xmlns:a16="http://schemas.microsoft.com/office/drawing/2014/main" id="{81209703-823D-4009-A771-2138F9E0F0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5" y="1661583"/>
            <a:ext cx="538691" cy="538691"/>
          </a:xfrm>
          <a:prstGeom prst="rect">
            <a:avLst/>
          </a:prstGeom>
        </xdr:spPr>
      </xdr:pic>
      <xdr:sp macro="" textlink="">
        <xdr:nvSpPr>
          <xdr:cNvPr id="461" name="テキスト ボックス 460">
            <a:extLst>
              <a:ext uri="{FF2B5EF4-FFF2-40B4-BE49-F238E27FC236}">
                <a16:creationId xmlns:a16="http://schemas.microsoft.com/office/drawing/2014/main" id="{4C3121E2-184A-4E3B-B67D-22F22AFFE386}"/>
              </a:ext>
            </a:extLst>
          </xdr:cNvPr>
          <xdr:cNvSpPr txBox="1"/>
        </xdr:nvSpPr>
        <xdr:spPr>
          <a:xfrm>
            <a:off x="9224420" y="2118780"/>
            <a:ext cx="1026584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パ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U</a:t>
            </a:r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53</xdr:col>
      <xdr:colOff>157988</xdr:colOff>
      <xdr:row>15</xdr:row>
      <xdr:rowOff>169333</xdr:rowOff>
    </xdr:from>
    <xdr:to>
      <xdr:col>56</xdr:col>
      <xdr:colOff>164604</xdr:colOff>
      <xdr:row>15</xdr:row>
      <xdr:rowOff>169333</xdr:rowOff>
    </xdr:to>
    <xdr:cxnSp macro="">
      <xdr:nvCxnSpPr>
        <xdr:cNvPr id="462" name="直線矢印コネクタ 461">
          <a:extLst>
            <a:ext uri="{FF2B5EF4-FFF2-40B4-BE49-F238E27FC236}">
              <a16:creationId xmlns:a16="http://schemas.microsoft.com/office/drawing/2014/main" id="{105F3838-3A4C-4568-8227-90214E4952B4}"/>
            </a:ext>
          </a:extLst>
        </xdr:cNvPr>
        <xdr:cNvCxnSpPr>
          <a:stCxn id="457" idx="3"/>
        </xdr:cNvCxnSpPr>
      </xdr:nvCxnSpPr>
      <xdr:spPr>
        <a:xfrm flipV="1">
          <a:off x="10254488" y="331258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132308</xdr:colOff>
      <xdr:row>23</xdr:row>
      <xdr:rowOff>77493</xdr:rowOff>
    </xdr:from>
    <xdr:to>
      <xdr:col>56</xdr:col>
      <xdr:colOff>138924</xdr:colOff>
      <xdr:row>23</xdr:row>
      <xdr:rowOff>77493</xdr:rowOff>
    </xdr:to>
    <xdr:cxnSp macro="">
      <xdr:nvCxnSpPr>
        <xdr:cNvPr id="463" name="直線矢印コネクタ 462">
          <a:extLst>
            <a:ext uri="{FF2B5EF4-FFF2-40B4-BE49-F238E27FC236}">
              <a16:creationId xmlns:a16="http://schemas.microsoft.com/office/drawing/2014/main" id="{29C7AF64-BE4E-4A1F-8DA3-BEA73F66B91C}"/>
            </a:ext>
          </a:extLst>
        </xdr:cNvPr>
        <xdr:cNvCxnSpPr>
          <a:stCxn id="460" idx="3"/>
        </xdr:cNvCxnSpPr>
      </xdr:nvCxnSpPr>
      <xdr:spPr>
        <a:xfrm>
          <a:off x="10228808" y="466854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168273</xdr:colOff>
      <xdr:row>12</xdr:row>
      <xdr:rowOff>66676</xdr:rowOff>
    </xdr:from>
    <xdr:to>
      <xdr:col>35</xdr:col>
      <xdr:colOff>162983</xdr:colOff>
      <xdr:row>14</xdr:row>
      <xdr:rowOff>35986</xdr:rowOff>
    </xdr:to>
    <xdr:sp macro="" textlink="">
      <xdr:nvSpPr>
        <xdr:cNvPr id="464" name="正方形/長方形 463">
          <a:extLst>
            <a:ext uri="{FF2B5EF4-FFF2-40B4-BE49-F238E27FC236}">
              <a16:creationId xmlns:a16="http://schemas.microsoft.com/office/drawing/2014/main" id="{5FB0ADCC-4BE3-46F5-B16F-272838C14757}"/>
            </a:ext>
          </a:extLst>
        </xdr:cNvPr>
        <xdr:cNvSpPr/>
      </xdr:nvSpPr>
      <xdr:spPr>
        <a:xfrm>
          <a:off x="5502273" y="2667001"/>
          <a:ext cx="1328210" cy="331260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T01_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うけるくんデータ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41282</xdr:colOff>
      <xdr:row>14</xdr:row>
      <xdr:rowOff>35985</xdr:rowOff>
    </xdr:from>
    <xdr:to>
      <xdr:col>32</xdr:col>
      <xdr:colOff>70380</xdr:colOff>
      <xdr:row>18</xdr:row>
      <xdr:rowOff>155574</xdr:rowOff>
    </xdr:to>
    <xdr:cxnSp macro="">
      <xdr:nvCxnSpPr>
        <xdr:cNvPr id="465" name="カギ線コネクタ 369">
          <a:extLst>
            <a:ext uri="{FF2B5EF4-FFF2-40B4-BE49-F238E27FC236}">
              <a16:creationId xmlns:a16="http://schemas.microsoft.com/office/drawing/2014/main" id="{8F93131A-29A5-432A-9F08-252BA0FB9027}"/>
            </a:ext>
          </a:extLst>
        </xdr:cNvPr>
        <xdr:cNvCxnSpPr>
          <a:stCxn id="464" idx="2"/>
          <a:endCxn id="428" idx="0"/>
        </xdr:cNvCxnSpPr>
      </xdr:nvCxnSpPr>
      <xdr:spPr>
        <a:xfrm rot="5400000">
          <a:off x="5063336" y="2738706"/>
          <a:ext cx="843489" cy="1362598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41281</xdr:colOff>
      <xdr:row>14</xdr:row>
      <xdr:rowOff>42335</xdr:rowOff>
    </xdr:from>
    <xdr:to>
      <xdr:col>25</xdr:col>
      <xdr:colOff>45509</xdr:colOff>
      <xdr:row>18</xdr:row>
      <xdr:rowOff>155575</xdr:rowOff>
    </xdr:to>
    <xdr:cxnSp macro="">
      <xdr:nvCxnSpPr>
        <xdr:cNvPr id="466" name="直線矢印コネクタ 465">
          <a:extLst>
            <a:ext uri="{FF2B5EF4-FFF2-40B4-BE49-F238E27FC236}">
              <a16:creationId xmlns:a16="http://schemas.microsoft.com/office/drawing/2014/main" id="{EDDFEB72-B9B5-4461-BF5B-5B7BBF0C311B}"/>
            </a:ext>
          </a:extLst>
        </xdr:cNvPr>
        <xdr:cNvCxnSpPr>
          <a:stCxn id="431" idx="2"/>
          <a:endCxn id="428" idx="0"/>
        </xdr:cNvCxnSpPr>
      </xdr:nvCxnSpPr>
      <xdr:spPr>
        <a:xfrm flipH="1">
          <a:off x="4803781" y="3004610"/>
          <a:ext cx="4228" cy="83714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61404</xdr:colOff>
      <xdr:row>9</xdr:row>
      <xdr:rowOff>158593</xdr:rowOff>
    </xdr:from>
    <xdr:to>
      <xdr:col>32</xdr:col>
      <xdr:colOff>70379</xdr:colOff>
      <xdr:row>12</xdr:row>
      <xdr:rowOff>66676</xdr:rowOff>
    </xdr:to>
    <xdr:cxnSp macro="">
      <xdr:nvCxnSpPr>
        <xdr:cNvPr id="467" name="直線矢印コネクタ 466">
          <a:extLst>
            <a:ext uri="{FF2B5EF4-FFF2-40B4-BE49-F238E27FC236}">
              <a16:creationId xmlns:a16="http://schemas.microsoft.com/office/drawing/2014/main" id="{BA2EE180-6FEE-483A-9E53-E0EACA69BC76}"/>
            </a:ext>
          </a:extLst>
        </xdr:cNvPr>
        <xdr:cNvCxnSpPr>
          <a:stCxn id="481" idx="2"/>
          <a:endCxn id="464" idx="0"/>
        </xdr:cNvCxnSpPr>
      </xdr:nvCxnSpPr>
      <xdr:spPr>
        <a:xfrm>
          <a:off x="6157404" y="2215993"/>
          <a:ext cx="8975" cy="45100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74161</xdr:colOff>
      <xdr:row>6</xdr:row>
      <xdr:rowOff>24431</xdr:rowOff>
    </xdr:from>
    <xdr:to>
      <xdr:col>27</xdr:col>
      <xdr:colOff>6967</xdr:colOff>
      <xdr:row>10</xdr:row>
      <xdr:rowOff>12580</xdr:rowOff>
    </xdr:to>
    <xdr:grpSp>
      <xdr:nvGrpSpPr>
        <xdr:cNvPr id="468" name="グループ化 467">
          <a:extLst>
            <a:ext uri="{FF2B5EF4-FFF2-40B4-BE49-F238E27FC236}">
              <a16:creationId xmlns:a16="http://schemas.microsoft.com/office/drawing/2014/main" id="{D80FA85D-7549-437E-8206-D710C31BE626}"/>
            </a:ext>
          </a:extLst>
        </xdr:cNvPr>
        <xdr:cNvGrpSpPr/>
      </xdr:nvGrpSpPr>
      <xdr:grpSpPr>
        <a:xfrm>
          <a:off x="4455661" y="1291256"/>
          <a:ext cx="694806" cy="712049"/>
          <a:chOff x="3684136" y="766322"/>
          <a:chExt cx="694806" cy="712049"/>
        </a:xfrm>
      </xdr:grpSpPr>
      <xdr:sp macro="" textlink="">
        <xdr:nvSpPr>
          <xdr:cNvPr id="469" name="正方形/長方形 468">
            <a:extLst>
              <a:ext uri="{FF2B5EF4-FFF2-40B4-BE49-F238E27FC236}">
                <a16:creationId xmlns:a16="http://schemas.microsoft.com/office/drawing/2014/main" id="{484DF562-B6EA-4FF7-8FD5-ABE662E7A526}"/>
              </a:ext>
            </a:extLst>
          </xdr:cNvPr>
          <xdr:cNvSpPr/>
        </xdr:nvSpPr>
        <xdr:spPr>
          <a:xfrm>
            <a:off x="3814233" y="829733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0" name="グループ化 469">
            <a:extLst>
              <a:ext uri="{FF2B5EF4-FFF2-40B4-BE49-F238E27FC236}">
                <a16:creationId xmlns:a16="http://schemas.microsoft.com/office/drawing/2014/main" id="{E2607C61-3300-4FAB-A7C6-336F038EFC51}"/>
              </a:ext>
            </a:extLst>
          </xdr:cNvPr>
          <xdr:cNvGrpSpPr/>
        </xdr:nvGrpSpPr>
        <xdr:grpSpPr>
          <a:xfrm>
            <a:off x="3684136" y="766322"/>
            <a:ext cx="694806" cy="712049"/>
            <a:chOff x="3686615" y="3431461"/>
            <a:chExt cx="693456" cy="723391"/>
          </a:xfrm>
        </xdr:grpSpPr>
        <xdr:pic>
          <xdr:nvPicPr>
            <xdr:cNvPr id="471" name="図 470">
              <a:extLst>
                <a:ext uri="{FF2B5EF4-FFF2-40B4-BE49-F238E27FC236}">
                  <a16:creationId xmlns:a16="http://schemas.microsoft.com/office/drawing/2014/main" id="{2B341AD5-121A-42DB-92EF-D7F3567BB01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3739115" y="3431461"/>
              <a:ext cx="508371" cy="555749"/>
            </a:xfrm>
            <a:prstGeom prst="rect">
              <a:avLst/>
            </a:prstGeom>
          </xdr:spPr>
        </xdr:pic>
        <xdr:pic>
          <xdr:nvPicPr>
            <xdr:cNvPr id="472" name="図 471">
              <a:extLst>
                <a:ext uri="{FF2B5EF4-FFF2-40B4-BE49-F238E27FC236}">
                  <a16:creationId xmlns:a16="http://schemas.microsoft.com/office/drawing/2014/main" id="{130AD975-3C47-4CD9-BD80-F0D1427D963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t="74580" r="5534" b="8240"/>
            <a:stretch/>
          </xdr:blipFill>
          <xdr:spPr>
            <a:xfrm>
              <a:off x="3686615" y="4015222"/>
              <a:ext cx="693456" cy="13963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28892</xdr:colOff>
      <xdr:row>6</xdr:row>
      <xdr:rowOff>38568</xdr:rowOff>
    </xdr:from>
    <xdr:to>
      <xdr:col>20</xdr:col>
      <xdr:colOff>122838</xdr:colOff>
      <xdr:row>10</xdr:row>
      <xdr:rowOff>7145</xdr:rowOff>
    </xdr:to>
    <xdr:grpSp>
      <xdr:nvGrpSpPr>
        <xdr:cNvPr id="473" name="グループ化 472">
          <a:extLst>
            <a:ext uri="{FF2B5EF4-FFF2-40B4-BE49-F238E27FC236}">
              <a16:creationId xmlns:a16="http://schemas.microsoft.com/office/drawing/2014/main" id="{22C14A23-A33A-4593-B50D-86A0037E1C7F}"/>
            </a:ext>
          </a:extLst>
        </xdr:cNvPr>
        <xdr:cNvGrpSpPr/>
      </xdr:nvGrpSpPr>
      <xdr:grpSpPr>
        <a:xfrm>
          <a:off x="3076892" y="1305393"/>
          <a:ext cx="855946" cy="692477"/>
          <a:chOff x="2305367" y="780459"/>
          <a:chExt cx="855946" cy="692477"/>
        </a:xfrm>
      </xdr:grpSpPr>
      <xdr:sp macro="" textlink="">
        <xdr:nvSpPr>
          <xdr:cNvPr id="474" name="正方形/長方形 473">
            <a:extLst>
              <a:ext uri="{FF2B5EF4-FFF2-40B4-BE49-F238E27FC236}">
                <a16:creationId xmlns:a16="http://schemas.microsoft.com/office/drawing/2014/main" id="{ED1B23D3-4E01-4401-A3B5-04B0693FD4F3}"/>
              </a:ext>
            </a:extLst>
          </xdr:cNvPr>
          <xdr:cNvSpPr/>
        </xdr:nvSpPr>
        <xdr:spPr>
          <a:xfrm>
            <a:off x="2548466" y="833966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5" name="グループ化 474">
            <a:extLst>
              <a:ext uri="{FF2B5EF4-FFF2-40B4-BE49-F238E27FC236}">
                <a16:creationId xmlns:a16="http://schemas.microsoft.com/office/drawing/2014/main" id="{19245439-C7C6-4B46-8288-9E16CD9A93AB}"/>
              </a:ext>
            </a:extLst>
          </xdr:cNvPr>
          <xdr:cNvGrpSpPr/>
        </xdr:nvGrpSpPr>
        <xdr:grpSpPr>
          <a:xfrm>
            <a:off x="2305367" y="780459"/>
            <a:ext cx="855946" cy="692477"/>
            <a:chOff x="950418" y="171672"/>
            <a:chExt cx="854596" cy="703989"/>
          </a:xfrm>
        </xdr:grpSpPr>
        <xdr:pic>
          <xdr:nvPicPr>
            <xdr:cNvPr id="476" name="図 475">
              <a:extLst>
                <a:ext uri="{FF2B5EF4-FFF2-40B4-BE49-F238E27FC236}">
                  <a16:creationId xmlns:a16="http://schemas.microsoft.com/office/drawing/2014/main" id="{FDE51E7F-AB35-4346-8D39-74E94E4E7701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6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8210" t="78253" r="7952" b="7492"/>
            <a:stretch/>
          </xdr:blipFill>
          <xdr:spPr>
            <a:xfrm>
              <a:off x="950418" y="742058"/>
              <a:ext cx="854596" cy="133603"/>
            </a:xfrm>
            <a:prstGeom prst="rect">
              <a:avLst/>
            </a:prstGeom>
          </xdr:spPr>
        </xdr:pic>
        <xdr:pic>
          <xdr:nvPicPr>
            <xdr:cNvPr id="477" name="図 476">
              <a:extLst>
                <a:ext uri="{FF2B5EF4-FFF2-40B4-BE49-F238E27FC236}">
                  <a16:creationId xmlns:a16="http://schemas.microsoft.com/office/drawing/2014/main" id="{F96C2648-AD10-4CA3-8785-632DF6346A9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9706" y="171672"/>
              <a:ext cx="508371" cy="555749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29</xdr:col>
      <xdr:colOff>180567</xdr:colOff>
      <xdr:row>6</xdr:row>
      <xdr:rowOff>14321</xdr:rowOff>
    </xdr:from>
    <xdr:to>
      <xdr:col>34</xdr:col>
      <xdr:colOff>134856</xdr:colOff>
      <xdr:row>9</xdr:row>
      <xdr:rowOff>158593</xdr:rowOff>
    </xdr:to>
    <xdr:grpSp>
      <xdr:nvGrpSpPr>
        <xdr:cNvPr id="478" name="グループ化 477">
          <a:extLst>
            <a:ext uri="{FF2B5EF4-FFF2-40B4-BE49-F238E27FC236}">
              <a16:creationId xmlns:a16="http://schemas.microsoft.com/office/drawing/2014/main" id="{EEAA389A-8497-45EA-8A65-C56CD6CEA5A3}"/>
            </a:ext>
          </a:extLst>
        </xdr:cNvPr>
        <xdr:cNvGrpSpPr/>
      </xdr:nvGrpSpPr>
      <xdr:grpSpPr>
        <a:xfrm>
          <a:off x="5705067" y="1281146"/>
          <a:ext cx="906789" cy="687197"/>
          <a:chOff x="4933543" y="756212"/>
          <a:chExt cx="906788" cy="687197"/>
        </a:xfrm>
      </xdr:grpSpPr>
      <xdr:sp macro="" textlink="">
        <xdr:nvSpPr>
          <xdr:cNvPr id="479" name="正方形/長方形 478">
            <a:extLst>
              <a:ext uri="{FF2B5EF4-FFF2-40B4-BE49-F238E27FC236}">
                <a16:creationId xmlns:a16="http://schemas.microsoft.com/office/drawing/2014/main" id="{8D80D982-1970-40DE-BFDD-DC6125ECE267}"/>
              </a:ext>
            </a:extLst>
          </xdr:cNvPr>
          <xdr:cNvSpPr/>
        </xdr:nvSpPr>
        <xdr:spPr>
          <a:xfrm>
            <a:off x="5164667" y="825500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80" name="グループ化 479">
            <a:extLst>
              <a:ext uri="{FF2B5EF4-FFF2-40B4-BE49-F238E27FC236}">
                <a16:creationId xmlns:a16="http://schemas.microsoft.com/office/drawing/2014/main" id="{7F4F51DB-84B8-431A-A17E-ECCEC62BED4C}"/>
              </a:ext>
            </a:extLst>
          </xdr:cNvPr>
          <xdr:cNvGrpSpPr/>
        </xdr:nvGrpSpPr>
        <xdr:grpSpPr>
          <a:xfrm>
            <a:off x="4933543" y="756212"/>
            <a:ext cx="906788" cy="687197"/>
            <a:chOff x="964564" y="268807"/>
            <a:chExt cx="907574" cy="688357"/>
          </a:xfrm>
        </xdr:grpSpPr>
        <xdr:pic>
          <xdr:nvPicPr>
            <xdr:cNvPr id="481" name="図 480">
              <a:extLst>
                <a:ext uri="{FF2B5EF4-FFF2-40B4-BE49-F238E27FC236}">
                  <a16:creationId xmlns:a16="http://schemas.microsoft.com/office/drawing/2014/main" id="{3BAD4220-FB1C-4673-B324-6AC8C3D57C0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7587" t="74868" r="10333" b="11514"/>
            <a:stretch/>
          </xdr:blipFill>
          <xdr:spPr>
            <a:xfrm>
              <a:off x="964564" y="845958"/>
              <a:ext cx="907574" cy="111206"/>
            </a:xfrm>
            <a:prstGeom prst="rect">
              <a:avLst/>
            </a:prstGeom>
          </xdr:spPr>
        </xdr:pic>
        <xdr:pic>
          <xdr:nvPicPr>
            <xdr:cNvPr id="482" name="図 481">
              <a:extLst>
                <a:ext uri="{FF2B5EF4-FFF2-40B4-BE49-F238E27FC236}">
                  <a16:creationId xmlns:a16="http://schemas.microsoft.com/office/drawing/2014/main" id="{8C21461C-84B9-4C2B-8EB4-239619F87DC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6118" y="268807"/>
              <a:ext cx="510317" cy="548116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25</xdr:col>
      <xdr:colOff>39506</xdr:colOff>
      <xdr:row>10</xdr:row>
      <xdr:rowOff>12580</xdr:rowOff>
    </xdr:from>
    <xdr:to>
      <xdr:col>25</xdr:col>
      <xdr:colOff>44450</xdr:colOff>
      <xdr:row>12</xdr:row>
      <xdr:rowOff>73026</xdr:rowOff>
    </xdr:to>
    <xdr:cxnSp macro="">
      <xdr:nvCxnSpPr>
        <xdr:cNvPr id="483" name="直線矢印コネクタ 482">
          <a:extLst>
            <a:ext uri="{FF2B5EF4-FFF2-40B4-BE49-F238E27FC236}">
              <a16:creationId xmlns:a16="http://schemas.microsoft.com/office/drawing/2014/main" id="{8EDAD870-DE28-4CFC-9A88-4D65CA338C8F}"/>
            </a:ext>
          </a:extLst>
        </xdr:cNvPr>
        <xdr:cNvCxnSpPr>
          <a:stCxn id="472" idx="2"/>
          <a:endCxn id="431" idx="0"/>
        </xdr:cNvCxnSpPr>
      </xdr:nvCxnSpPr>
      <xdr:spPr>
        <a:xfrm>
          <a:off x="4802006" y="2250955"/>
          <a:ext cx="4944" cy="422396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74083</xdr:colOff>
      <xdr:row>10</xdr:row>
      <xdr:rowOff>7145</xdr:rowOff>
    </xdr:from>
    <xdr:to>
      <xdr:col>18</xdr:col>
      <xdr:colOff>74806</xdr:colOff>
      <xdr:row>12</xdr:row>
      <xdr:rowOff>66675</xdr:rowOff>
    </xdr:to>
    <xdr:cxnSp macro="">
      <xdr:nvCxnSpPr>
        <xdr:cNvPr id="484" name="直線矢印コネクタ 483">
          <a:extLst>
            <a:ext uri="{FF2B5EF4-FFF2-40B4-BE49-F238E27FC236}">
              <a16:creationId xmlns:a16="http://schemas.microsoft.com/office/drawing/2014/main" id="{3845076F-9396-4E68-8D29-C36C87DB9F0E}"/>
            </a:ext>
          </a:extLst>
        </xdr:cNvPr>
        <xdr:cNvCxnSpPr>
          <a:stCxn id="476" idx="2"/>
          <a:endCxn id="432" idx="0"/>
        </xdr:cNvCxnSpPr>
      </xdr:nvCxnSpPr>
      <xdr:spPr>
        <a:xfrm flipH="1">
          <a:off x="3503083" y="2245520"/>
          <a:ext cx="723" cy="42148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188381</xdr:colOff>
      <xdr:row>24</xdr:row>
      <xdr:rowOff>56092</xdr:rowOff>
    </xdr:from>
    <xdr:to>
      <xdr:col>37</xdr:col>
      <xdr:colOff>168272</xdr:colOff>
      <xdr:row>28</xdr:row>
      <xdr:rowOff>93134</xdr:rowOff>
    </xdr:to>
    <xdr:grpSp>
      <xdr:nvGrpSpPr>
        <xdr:cNvPr id="485" name="グループ化 484">
          <a:extLst>
            <a:ext uri="{FF2B5EF4-FFF2-40B4-BE49-F238E27FC236}">
              <a16:creationId xmlns:a16="http://schemas.microsoft.com/office/drawing/2014/main" id="{0D630C02-D41F-4170-A783-897F7EFDA9F4}"/>
            </a:ext>
          </a:extLst>
        </xdr:cNvPr>
        <xdr:cNvGrpSpPr/>
      </xdr:nvGrpSpPr>
      <xdr:grpSpPr>
        <a:xfrm>
          <a:off x="6093881" y="4580467"/>
          <a:ext cx="1122891" cy="760942"/>
          <a:chOff x="3386753" y="4138083"/>
          <a:chExt cx="1285874" cy="762000"/>
        </a:xfrm>
      </xdr:grpSpPr>
      <xdr:pic>
        <xdr:nvPicPr>
          <xdr:cNvPr id="486" name="図 485">
            <a:extLst>
              <a:ext uri="{FF2B5EF4-FFF2-40B4-BE49-F238E27FC236}">
                <a16:creationId xmlns:a16="http://schemas.microsoft.com/office/drawing/2014/main" id="{343DB1EF-4D53-4666-94FD-168B5CDB73B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719937" y="4138083"/>
            <a:ext cx="585143" cy="585143"/>
          </a:xfrm>
          <a:prstGeom prst="rect">
            <a:avLst/>
          </a:prstGeom>
        </xdr:spPr>
      </xdr:pic>
      <xdr:sp macro="" textlink="">
        <xdr:nvSpPr>
          <xdr:cNvPr id="487" name="テキスト ボックス 486">
            <a:extLst>
              <a:ext uri="{FF2B5EF4-FFF2-40B4-BE49-F238E27FC236}">
                <a16:creationId xmlns:a16="http://schemas.microsoft.com/office/drawing/2014/main" id="{C5567634-6135-4644-8FC8-5750E038DB57}"/>
              </a:ext>
            </a:extLst>
          </xdr:cNvPr>
          <xdr:cNvSpPr txBox="1"/>
        </xdr:nvSpPr>
        <xdr:spPr>
          <a:xfrm>
            <a:off x="3386753" y="4662147"/>
            <a:ext cx="1285874" cy="237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900" b="1">
                <a:latin typeface="Meiryo UI" panose="020B0604030504040204" pitchFamily="50" charset="-128"/>
                <a:ea typeface="Meiryo UI" panose="020B0604030504040204" pitchFamily="50" charset="-128"/>
              </a:rPr>
              <a:t>モニタリングデータ</a:t>
            </a:r>
          </a:p>
        </xdr:txBody>
      </xdr:sp>
    </xdr:grpSp>
    <xdr:clientData/>
  </xdr:twoCellAnchor>
  <xdr:twoCellAnchor>
    <xdr:from>
      <xdr:col>25</xdr:col>
      <xdr:colOff>41282</xdr:colOff>
      <xdr:row>21</xdr:row>
      <xdr:rowOff>5475</xdr:rowOff>
    </xdr:from>
    <xdr:to>
      <xdr:col>33</xdr:col>
      <xdr:colOff>98335</xdr:colOff>
      <xdr:row>25</xdr:row>
      <xdr:rowOff>167283</xdr:rowOff>
    </xdr:to>
    <xdr:cxnSp macro="">
      <xdr:nvCxnSpPr>
        <xdr:cNvPr id="488" name="カギ線コネクタ 392">
          <a:extLst>
            <a:ext uri="{FF2B5EF4-FFF2-40B4-BE49-F238E27FC236}">
              <a16:creationId xmlns:a16="http://schemas.microsoft.com/office/drawing/2014/main" id="{1B4CDA36-DB94-4BE3-9502-FCFE086F14DD}"/>
            </a:ext>
          </a:extLst>
        </xdr:cNvPr>
        <xdr:cNvCxnSpPr>
          <a:stCxn id="486" idx="1"/>
          <a:endCxn id="428" idx="2"/>
        </xdr:cNvCxnSpPr>
      </xdr:nvCxnSpPr>
      <xdr:spPr>
        <a:xfrm rot="10800000">
          <a:off x="4803782" y="4234575"/>
          <a:ext cx="1581053" cy="885708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37811</xdr:colOff>
      <xdr:row>21</xdr:row>
      <xdr:rowOff>131231</xdr:rowOff>
    </xdr:from>
    <xdr:to>
      <xdr:col>44</xdr:col>
      <xdr:colOff>92083</xdr:colOff>
      <xdr:row>25</xdr:row>
      <xdr:rowOff>167283</xdr:rowOff>
    </xdr:to>
    <xdr:cxnSp macro="">
      <xdr:nvCxnSpPr>
        <xdr:cNvPr id="489" name="カギ線コネクタ 393">
          <a:extLst>
            <a:ext uri="{FF2B5EF4-FFF2-40B4-BE49-F238E27FC236}">
              <a16:creationId xmlns:a16="http://schemas.microsoft.com/office/drawing/2014/main" id="{37AAF73D-F2C5-4964-AC0A-1A2AE009E859}"/>
            </a:ext>
          </a:extLst>
        </xdr:cNvPr>
        <xdr:cNvCxnSpPr>
          <a:stCxn id="486" idx="3"/>
          <a:endCxn id="430" idx="2"/>
        </xdr:cNvCxnSpPr>
      </xdr:nvCxnSpPr>
      <xdr:spPr>
        <a:xfrm flipV="1">
          <a:off x="6895811" y="4360331"/>
          <a:ext cx="1578272" cy="759952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41274</xdr:colOff>
      <xdr:row>20</xdr:row>
      <xdr:rowOff>164043</xdr:rowOff>
    </xdr:from>
    <xdr:to>
      <xdr:col>12</xdr:col>
      <xdr:colOff>147108</xdr:colOff>
      <xdr:row>26</xdr:row>
      <xdr:rowOff>13760</xdr:rowOff>
    </xdr:to>
    <xdr:grpSp>
      <xdr:nvGrpSpPr>
        <xdr:cNvPr id="490" name="グループ化 489">
          <a:extLst>
            <a:ext uri="{FF2B5EF4-FFF2-40B4-BE49-F238E27FC236}">
              <a16:creationId xmlns:a16="http://schemas.microsoft.com/office/drawing/2014/main" id="{741F26F6-C4DA-4FC0-80B9-8B5B4C20E7AD}"/>
            </a:ext>
          </a:extLst>
        </xdr:cNvPr>
        <xdr:cNvGrpSpPr/>
      </xdr:nvGrpSpPr>
      <xdr:grpSpPr>
        <a:xfrm>
          <a:off x="422274" y="3964518"/>
          <a:ext cx="2010834" cy="935567"/>
          <a:chOff x="448567" y="2857500"/>
          <a:chExt cx="1521732" cy="941044"/>
        </a:xfrm>
      </xdr:grpSpPr>
      <xdr:sp macro="" textlink="">
        <xdr:nvSpPr>
          <xdr:cNvPr id="491" name="正方形/長方形 490">
            <a:extLst>
              <a:ext uri="{FF2B5EF4-FFF2-40B4-BE49-F238E27FC236}">
                <a16:creationId xmlns:a16="http://schemas.microsoft.com/office/drawing/2014/main" id="{046D9989-1AA9-4362-B696-E212EF7BB5C8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92" name="グループ化 491">
            <a:extLst>
              <a:ext uri="{FF2B5EF4-FFF2-40B4-BE49-F238E27FC236}">
                <a16:creationId xmlns:a16="http://schemas.microsoft.com/office/drawing/2014/main" id="{945A40C0-11FE-485E-87D5-89C94DFBB05E}"/>
              </a:ext>
            </a:extLst>
          </xdr:cNvPr>
          <xdr:cNvGrpSpPr/>
        </xdr:nvGrpSpPr>
        <xdr:grpSpPr>
          <a:xfrm>
            <a:off x="448567" y="2868021"/>
            <a:ext cx="1521732" cy="930523"/>
            <a:chOff x="1062400" y="2328272"/>
            <a:chExt cx="1521732" cy="930523"/>
          </a:xfrm>
        </xdr:grpSpPr>
        <xdr:pic>
          <xdr:nvPicPr>
            <xdr:cNvPr id="493" name="図 492">
              <a:extLst>
                <a:ext uri="{FF2B5EF4-FFF2-40B4-BE49-F238E27FC236}">
                  <a16:creationId xmlns:a16="http://schemas.microsoft.com/office/drawing/2014/main" id="{9BA857C0-76DC-4956-86DE-C943E5C11CD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07927" y="2328272"/>
              <a:ext cx="587648" cy="663575"/>
            </a:xfrm>
            <a:prstGeom prst="rect">
              <a:avLst/>
            </a:prstGeom>
          </xdr:spPr>
        </xdr:pic>
        <xdr:sp macro="" textlink="">
          <xdr:nvSpPr>
            <xdr:cNvPr id="494" name="テキスト ボックス 493">
              <a:extLst>
                <a:ext uri="{FF2B5EF4-FFF2-40B4-BE49-F238E27FC236}">
                  <a16:creationId xmlns:a16="http://schemas.microsoft.com/office/drawing/2014/main" id="{4CE59175-FE87-404A-8332-7702FF9381DC}"/>
                </a:ext>
              </a:extLst>
            </xdr:cNvPr>
            <xdr:cNvSpPr txBox="1"/>
          </xdr:nvSpPr>
          <xdr:spPr>
            <a:xfrm>
              <a:off x="1062400" y="2983628"/>
              <a:ext cx="1521732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ＨＲ受注＿統合受注企画</a:t>
              </a:r>
            </a:p>
          </xdr:txBody>
        </xdr:sp>
      </xdr:grpSp>
    </xdr:grpSp>
    <xdr:clientData/>
  </xdr:twoCellAnchor>
  <xdr:twoCellAnchor>
    <xdr:from>
      <xdr:col>9</xdr:col>
      <xdr:colOff>41273</xdr:colOff>
      <xdr:row>16</xdr:row>
      <xdr:rowOff>30164</xdr:rowOff>
    </xdr:from>
    <xdr:to>
      <xdr:col>14</xdr:col>
      <xdr:colOff>51860</xdr:colOff>
      <xdr:row>19</xdr:row>
      <xdr:rowOff>170485</xdr:rowOff>
    </xdr:to>
    <xdr:cxnSp macro="">
      <xdr:nvCxnSpPr>
        <xdr:cNvPr id="495" name="カギ線コネクタ 422">
          <a:extLst>
            <a:ext uri="{FF2B5EF4-FFF2-40B4-BE49-F238E27FC236}">
              <a16:creationId xmlns:a16="http://schemas.microsoft.com/office/drawing/2014/main" id="{7462F265-DADA-48C8-9EAC-F5DCD08F903A}"/>
            </a:ext>
          </a:extLst>
        </xdr:cNvPr>
        <xdr:cNvCxnSpPr>
          <a:stCxn id="448" idx="3"/>
          <a:endCxn id="427" idx="1"/>
        </xdr:cNvCxnSpPr>
      </xdr:nvCxnSpPr>
      <xdr:spPr>
        <a:xfrm>
          <a:off x="1755773" y="3354389"/>
          <a:ext cx="963087" cy="683246"/>
        </a:xfrm>
        <a:prstGeom prst="bentConnector3">
          <a:avLst>
            <a:gd name="adj1" fmla="val 63187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73023</xdr:colOff>
      <xdr:row>19</xdr:row>
      <xdr:rowOff>170485</xdr:rowOff>
    </xdr:from>
    <xdr:to>
      <xdr:col>14</xdr:col>
      <xdr:colOff>51860</xdr:colOff>
      <xdr:row>22</xdr:row>
      <xdr:rowOff>142410</xdr:rowOff>
    </xdr:to>
    <xdr:cxnSp macro="">
      <xdr:nvCxnSpPr>
        <xdr:cNvPr id="496" name="カギ線コネクタ 423">
          <a:extLst>
            <a:ext uri="{FF2B5EF4-FFF2-40B4-BE49-F238E27FC236}">
              <a16:creationId xmlns:a16="http://schemas.microsoft.com/office/drawing/2014/main" id="{1951ED78-9C17-4AE2-B00B-9FAF48ADB98E}"/>
            </a:ext>
          </a:extLst>
        </xdr:cNvPr>
        <xdr:cNvCxnSpPr>
          <a:stCxn id="493" idx="3"/>
          <a:endCxn id="427" idx="1"/>
        </xdr:cNvCxnSpPr>
      </xdr:nvCxnSpPr>
      <xdr:spPr>
        <a:xfrm flipV="1">
          <a:off x="1787523" y="4037635"/>
          <a:ext cx="931337" cy="514850"/>
        </a:xfrm>
        <a:prstGeom prst="bentConnector3">
          <a:avLst>
            <a:gd name="adj1" fmla="val 61363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121197</xdr:colOff>
      <xdr:row>2</xdr:row>
      <xdr:rowOff>4447</xdr:rowOff>
    </xdr:from>
    <xdr:to>
      <xdr:col>52</xdr:col>
      <xdr:colOff>1398</xdr:colOff>
      <xdr:row>29</xdr:row>
      <xdr:rowOff>0</xdr:rowOff>
    </xdr:to>
    <xdr:pic>
      <xdr:nvPicPr>
        <xdr:cNvPr id="4" name="コンテンツ プレースホルダー 9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55197" y="556897"/>
          <a:ext cx="4261701" cy="5196203"/>
        </a:xfrm>
        <a:prstGeom prst="rect">
          <a:avLst/>
        </a:prstGeom>
      </xdr:spPr>
    </xdr:pic>
    <xdr:clientData/>
  </xdr:twoCellAnchor>
  <xdr:twoCellAnchor>
    <xdr:from>
      <xdr:col>46</xdr:col>
      <xdr:colOff>152400</xdr:colOff>
      <xdr:row>26</xdr:row>
      <xdr:rowOff>57150</xdr:rowOff>
    </xdr:from>
    <xdr:to>
      <xdr:col>50</xdr:col>
      <xdr:colOff>85726</xdr:colOff>
      <xdr:row>28</xdr:row>
      <xdr:rowOff>47625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8724900" y="5238750"/>
          <a:ext cx="695326" cy="3714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/>
        </a:p>
      </xdr:txBody>
    </xdr:sp>
    <xdr:clientData/>
  </xdr:twoCellAnchor>
  <xdr:twoCellAnchor>
    <xdr:from>
      <xdr:col>2</xdr:col>
      <xdr:colOff>4157</xdr:colOff>
      <xdr:row>5</xdr:row>
      <xdr:rowOff>110099</xdr:rowOff>
    </xdr:from>
    <xdr:to>
      <xdr:col>16</xdr:col>
      <xdr:colOff>63558</xdr:colOff>
      <xdr:row>13</xdr:row>
      <xdr:rowOff>159544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657" y="1291199"/>
          <a:ext cx="2726401" cy="15734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faq-oh.r.recruit.co.jp/faq/show/8353?site_domain=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view="pageBreakPreview" topLeftCell="A13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16"/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16" t="s">
        <v>20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16"/>
      <c r="AS2" s="10"/>
      <c r="AT2" s="100" t="str">
        <f>HYPERLINK("#"&amp;AU2&amp;"!A1",(ROW()-1)&amp;". ")</f>
        <v xml:space="preserve">1. </v>
      </c>
      <c r="AU2" s="10" t="s">
        <v>360</v>
      </c>
      <c r="AV2" s="10"/>
      <c r="AW2" s="10"/>
      <c r="AX2" s="10"/>
      <c r="AY2" s="10"/>
      <c r="AZ2" s="10"/>
    </row>
    <row r="3" spans="1:52" ht="15" customHeight="1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6"/>
      <c r="AP3" s="116"/>
      <c r="AQ3" s="116"/>
      <c r="AR3" s="116"/>
      <c r="AS3" s="10"/>
      <c r="AT3" s="100" t="str">
        <f t="shared" ref="AT3:AT14" si="0">HYPERLINK("#"&amp;AU3&amp;"!A1",(ROW()-1)&amp;". ")</f>
        <v xml:space="preserve">2. </v>
      </c>
      <c r="AU3" s="10" t="s">
        <v>361</v>
      </c>
      <c r="AV3" s="10"/>
      <c r="AW3" s="10"/>
      <c r="AX3" s="10"/>
      <c r="AY3" s="10"/>
      <c r="AZ3" s="10"/>
    </row>
    <row r="4" spans="1:52" ht="15" customHeight="1">
      <c r="A4" s="117" t="str" cm="1">
        <f t="array" aca="1" ref="A4" ca="1">MID(CELL("filename",A1),FIND("[",CELL("filename",A1))+5,FIND("]",CELL("filename",A1))-FIND("[",CELL("filename",A1))-10)</f>
        <v>ツール名（ローカル）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0"/>
      <c r="AT4" s="100" t="str">
        <f t="shared" si="0"/>
        <v xml:space="preserve">3. </v>
      </c>
      <c r="AU4" s="10" t="s">
        <v>362</v>
      </c>
      <c r="AV4" s="10"/>
      <c r="AW4" s="10"/>
      <c r="AX4" s="10"/>
      <c r="AY4" s="10"/>
      <c r="AZ4" s="10"/>
    </row>
    <row r="5" spans="1:52" ht="15" customHeight="1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0"/>
      <c r="AT5" s="100" t="str">
        <f t="shared" si="0"/>
        <v xml:space="preserve">4. </v>
      </c>
      <c r="AU5" s="10" t="s">
        <v>363</v>
      </c>
      <c r="AV5" s="10"/>
      <c r="AW5" s="10"/>
      <c r="AX5" s="10"/>
      <c r="AY5" s="10"/>
      <c r="AZ5" s="10"/>
    </row>
    <row r="6" spans="1:52" ht="15" customHeight="1">
      <c r="A6" s="117"/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0"/>
      <c r="AT6" s="100" t="str">
        <f t="shared" si="0"/>
        <v xml:space="preserve">5. </v>
      </c>
      <c r="AU6" s="10" t="s">
        <v>364</v>
      </c>
      <c r="AV6" s="10"/>
      <c r="AW6" s="10"/>
      <c r="AX6" s="10"/>
      <c r="AY6" s="10"/>
      <c r="AZ6" s="10"/>
    </row>
    <row r="7" spans="1:52" ht="15" customHeight="1">
      <c r="A7" s="117"/>
      <c r="B7" s="117"/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0"/>
      <c r="AT7" s="100" t="str">
        <f t="shared" si="0"/>
        <v xml:space="preserve">6. </v>
      </c>
      <c r="AU7" s="10" t="s">
        <v>365</v>
      </c>
      <c r="AV7" s="10"/>
      <c r="AW7" s="10"/>
      <c r="AX7" s="10"/>
      <c r="AY7" s="10"/>
      <c r="AZ7" s="10"/>
    </row>
    <row r="8" spans="1:52" ht="15" customHeight="1">
      <c r="A8" s="117"/>
      <c r="B8" s="117"/>
      <c r="C8" s="117"/>
      <c r="D8" s="117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0"/>
      <c r="AT8" s="100" t="str">
        <f t="shared" si="0"/>
        <v xml:space="preserve">7. </v>
      </c>
      <c r="AU8" s="10" t="s">
        <v>366</v>
      </c>
      <c r="AV8" s="10"/>
      <c r="AW8" s="10"/>
      <c r="AX8" s="10"/>
      <c r="AY8" s="10"/>
      <c r="AZ8" s="10"/>
    </row>
    <row r="9" spans="1:52" ht="15" customHeight="1">
      <c r="A9" s="117"/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0"/>
      <c r="AT9" s="100" t="str">
        <f t="shared" si="0"/>
        <v xml:space="preserve">8. </v>
      </c>
      <c r="AU9" s="10" t="s">
        <v>367</v>
      </c>
      <c r="AV9" s="10"/>
      <c r="AW9" s="10"/>
      <c r="AX9" s="10"/>
      <c r="AY9" s="10"/>
      <c r="AZ9" s="10"/>
    </row>
    <row r="10" spans="1:52" ht="15" customHeight="1">
      <c r="A10" s="117"/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0"/>
      <c r="AT10" s="100" t="str">
        <f t="shared" si="0"/>
        <v xml:space="preserve">9. </v>
      </c>
      <c r="AU10" s="10" t="s">
        <v>368</v>
      </c>
      <c r="AV10" s="10"/>
      <c r="AW10" s="10"/>
      <c r="AX10" s="10"/>
      <c r="AY10" s="10"/>
      <c r="AZ10" s="10"/>
    </row>
    <row r="11" spans="1:52" ht="15" customHeight="1">
      <c r="A11" s="117"/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0"/>
      <c r="AT11" s="100" t="str">
        <f t="shared" si="0"/>
        <v xml:space="preserve">10. </v>
      </c>
      <c r="AU11" s="10" t="s">
        <v>369</v>
      </c>
      <c r="AV11" s="10"/>
      <c r="AW11" s="10"/>
      <c r="AX11" s="10"/>
      <c r="AY11" s="10"/>
      <c r="AZ11" s="10"/>
    </row>
    <row r="12" spans="1:52" ht="15" customHeight="1">
      <c r="A12" s="118" t="s">
        <v>21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0"/>
      <c r="AT12" s="100" t="str">
        <f t="shared" si="0"/>
        <v xml:space="preserve">11. </v>
      </c>
      <c r="AU12" s="10" t="s">
        <v>370</v>
      </c>
      <c r="AV12" s="10"/>
      <c r="AW12" s="10"/>
      <c r="AX12" s="10"/>
      <c r="AY12" s="10"/>
      <c r="AZ12" s="10"/>
    </row>
    <row r="13" spans="1:52" ht="15" customHeight="1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0"/>
      <c r="AT13" s="100" t="str">
        <f t="shared" si="0"/>
        <v xml:space="preserve">12. </v>
      </c>
      <c r="AU13" s="10" t="s">
        <v>371</v>
      </c>
      <c r="AV13" s="10"/>
      <c r="AW13" s="10"/>
      <c r="AX13" s="10"/>
      <c r="AY13" s="10"/>
      <c r="AZ13" s="10"/>
    </row>
    <row r="14" spans="1:52" ht="15" customHeight="1">
      <c r="A14" s="119"/>
      <c r="B14" s="119"/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0"/>
      <c r="AT14" s="100" t="str">
        <f t="shared" si="0"/>
        <v xml:space="preserve">13. </v>
      </c>
      <c r="AU14" s="10" t="s">
        <v>372</v>
      </c>
      <c r="AV14" s="10"/>
      <c r="AW14" s="10"/>
      <c r="AX14" s="10"/>
      <c r="AY14" s="10"/>
      <c r="AZ14" s="10"/>
    </row>
    <row r="15" spans="1:52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10"/>
      <c r="AT15" s="41"/>
      <c r="AU15" s="56"/>
      <c r="AV15" s="56"/>
      <c r="AW15" s="56"/>
      <c r="AX15" s="56"/>
      <c r="AY15" s="56"/>
      <c r="AZ15" s="10"/>
    </row>
    <row r="16" spans="1:52" s="1" customFormat="1" ht="28.5">
      <c r="A16" s="120" t="str">
        <f ca="1">RIGHT(CELL("filename",A1),LEN(CELL("filename",A1))-FIND("]",CELL("filename",A1)))</f>
        <v>改訂履歴</v>
      </c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</row>
    <row r="17" spans="1:51" s="1" customFormat="1"/>
    <row r="18" spans="1:51" s="1" customFormat="1" ht="16.5" customHeight="1">
      <c r="A18" s="110" t="s">
        <v>22</v>
      </c>
      <c r="B18" s="111"/>
      <c r="C18" s="111"/>
      <c r="D18" s="111"/>
      <c r="E18" s="112"/>
      <c r="F18" s="113" t="str">
        <f ca="1">INDIRECT("K"&amp;COUNTA(K:K)+A19)</f>
        <v>Ver</v>
      </c>
      <c r="G18" s="114"/>
      <c r="H18" s="114"/>
      <c r="I18" s="114"/>
      <c r="J18" s="115"/>
    </row>
    <row r="19" spans="1:51" s="1" customFormat="1">
      <c r="A19" s="7">
        <f>ROW()</f>
        <v>19</v>
      </c>
    </row>
    <row r="20" spans="1:51">
      <c r="A20" s="109" t="s">
        <v>4</v>
      </c>
      <c r="B20" s="109"/>
      <c r="C20" s="109"/>
      <c r="D20" s="109"/>
      <c r="E20" s="109"/>
      <c r="F20" s="109" t="s">
        <v>5</v>
      </c>
      <c r="G20" s="109"/>
      <c r="H20" s="109"/>
      <c r="I20" s="109"/>
      <c r="J20" s="109"/>
      <c r="K20" s="109" t="s">
        <v>23</v>
      </c>
      <c r="L20" s="109"/>
      <c r="M20" s="109"/>
      <c r="N20" s="109"/>
      <c r="O20" s="109" t="s">
        <v>6</v>
      </c>
      <c r="P20" s="109"/>
      <c r="Q20" s="109"/>
      <c r="R20" s="109"/>
      <c r="S20" s="109" t="s">
        <v>7</v>
      </c>
      <c r="T20" s="109"/>
      <c r="U20" s="109"/>
      <c r="V20" s="109"/>
      <c r="W20" s="109"/>
      <c r="X20" s="109"/>
      <c r="Y20" s="109"/>
      <c r="Z20" s="109"/>
      <c r="AA20" s="109" t="s">
        <v>8</v>
      </c>
      <c r="AB20" s="109"/>
      <c r="AC20" s="109"/>
      <c r="AD20" s="109"/>
      <c r="AE20" s="109"/>
      <c r="AF20" s="109"/>
      <c r="AG20" s="109"/>
      <c r="AH20" s="109"/>
      <c r="AI20" s="109"/>
      <c r="AJ20" s="109" t="s">
        <v>9</v>
      </c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109"/>
    </row>
    <row r="21" spans="1:51" ht="16.5" customHeight="1">
      <c r="A21" s="106"/>
      <c r="B21" s="106"/>
      <c r="C21" s="106"/>
      <c r="D21" s="106"/>
      <c r="E21" s="106"/>
      <c r="F21" s="107"/>
      <c r="G21" s="107"/>
      <c r="H21" s="107"/>
      <c r="I21" s="107"/>
      <c r="J21" s="107"/>
      <c r="K21" s="108"/>
      <c r="L21" s="108"/>
      <c r="M21" s="108"/>
      <c r="N21" s="108"/>
      <c r="O21" s="105"/>
      <c r="P21" s="105"/>
      <c r="Q21" s="105"/>
      <c r="R21" s="105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</row>
    <row r="22" spans="1:51" ht="16.5" customHeight="1">
      <c r="A22" s="106"/>
      <c r="B22" s="106"/>
      <c r="C22" s="106"/>
      <c r="D22" s="106"/>
      <c r="E22" s="106"/>
      <c r="F22" s="107"/>
      <c r="G22" s="107"/>
      <c r="H22" s="107"/>
      <c r="I22" s="107"/>
      <c r="J22" s="107"/>
      <c r="K22" s="108"/>
      <c r="L22" s="108"/>
      <c r="M22" s="108"/>
      <c r="N22" s="108"/>
      <c r="O22" s="105"/>
      <c r="P22" s="105"/>
      <c r="Q22" s="105"/>
      <c r="R22" s="105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  <c r="AY22" s="107"/>
    </row>
    <row r="23" spans="1:51">
      <c r="A23" s="106"/>
      <c r="B23" s="106"/>
      <c r="C23" s="106"/>
      <c r="D23" s="106"/>
      <c r="E23" s="106"/>
      <c r="F23" s="107"/>
      <c r="G23" s="107"/>
      <c r="H23" s="107"/>
      <c r="I23" s="107"/>
      <c r="J23" s="107"/>
      <c r="K23" s="108"/>
      <c r="L23" s="108"/>
      <c r="M23" s="108"/>
      <c r="N23" s="108"/>
      <c r="O23" s="105"/>
      <c r="P23" s="105"/>
      <c r="Q23" s="105"/>
      <c r="R23" s="105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  <c r="AY23" s="107"/>
    </row>
    <row r="24" spans="1:51">
      <c r="A24" s="106"/>
      <c r="B24" s="106"/>
      <c r="C24" s="106"/>
      <c r="D24" s="106"/>
      <c r="E24" s="106"/>
      <c r="F24" s="107"/>
      <c r="G24" s="107"/>
      <c r="H24" s="107"/>
      <c r="I24" s="107"/>
      <c r="J24" s="107"/>
      <c r="K24" s="108"/>
      <c r="L24" s="108"/>
      <c r="M24" s="108"/>
      <c r="N24" s="108"/>
      <c r="O24" s="105"/>
      <c r="P24" s="105"/>
      <c r="Q24" s="105"/>
      <c r="R24" s="105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</row>
    <row r="25" spans="1:51">
      <c r="A25" s="106"/>
      <c r="B25" s="106"/>
      <c r="C25" s="106"/>
      <c r="D25" s="106"/>
      <c r="E25" s="106"/>
      <c r="F25" s="107"/>
      <c r="G25" s="107"/>
      <c r="H25" s="107"/>
      <c r="I25" s="107"/>
      <c r="J25" s="107"/>
      <c r="K25" s="108"/>
      <c r="L25" s="108"/>
      <c r="M25" s="108"/>
      <c r="N25" s="108"/>
      <c r="O25" s="105"/>
      <c r="P25" s="105"/>
      <c r="Q25" s="105"/>
      <c r="R25" s="105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</row>
    <row r="26" spans="1:51">
      <c r="A26" s="106"/>
      <c r="B26" s="106"/>
      <c r="C26" s="106"/>
      <c r="D26" s="106"/>
      <c r="E26" s="106"/>
      <c r="F26" s="107"/>
      <c r="G26" s="107"/>
      <c r="H26" s="107"/>
      <c r="I26" s="107"/>
      <c r="J26" s="107"/>
      <c r="K26" s="108"/>
      <c r="L26" s="108"/>
      <c r="M26" s="108"/>
      <c r="N26" s="108"/>
      <c r="O26" s="105"/>
      <c r="P26" s="105"/>
      <c r="Q26" s="105"/>
      <c r="R26" s="105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</row>
    <row r="27" spans="1:51">
      <c r="A27" s="106"/>
      <c r="B27" s="106"/>
      <c r="C27" s="106"/>
      <c r="D27" s="106"/>
      <c r="E27" s="106"/>
      <c r="F27" s="107"/>
      <c r="G27" s="107"/>
      <c r="H27" s="107"/>
      <c r="I27" s="107"/>
      <c r="J27" s="107"/>
      <c r="K27" s="108"/>
      <c r="L27" s="108"/>
      <c r="M27" s="108"/>
      <c r="N27" s="108"/>
      <c r="O27" s="105"/>
      <c r="P27" s="105"/>
      <c r="Q27" s="105"/>
      <c r="R27" s="105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</row>
    <row r="28" spans="1:51">
      <c r="A28" s="106"/>
      <c r="B28" s="106"/>
      <c r="C28" s="106"/>
      <c r="D28" s="106"/>
      <c r="E28" s="106"/>
      <c r="F28" s="107"/>
      <c r="G28" s="107"/>
      <c r="H28" s="107"/>
      <c r="I28" s="107"/>
      <c r="J28" s="107"/>
      <c r="K28" s="108"/>
      <c r="L28" s="108"/>
      <c r="M28" s="108"/>
      <c r="N28" s="108"/>
      <c r="O28" s="105"/>
      <c r="P28" s="105"/>
      <c r="Q28" s="105"/>
      <c r="R28" s="105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</row>
    <row r="29" spans="1:51">
      <c r="A29" s="106"/>
      <c r="B29" s="106"/>
      <c r="C29" s="106"/>
      <c r="D29" s="106"/>
      <c r="E29" s="106"/>
      <c r="F29" s="107"/>
      <c r="G29" s="107"/>
      <c r="H29" s="107"/>
      <c r="I29" s="107"/>
      <c r="J29" s="107"/>
      <c r="K29" s="108"/>
      <c r="L29" s="108"/>
      <c r="M29" s="108"/>
      <c r="N29" s="108"/>
      <c r="O29" s="105"/>
      <c r="P29" s="105"/>
      <c r="Q29" s="105"/>
      <c r="R29" s="105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</row>
    <row r="30" spans="1:51">
      <c r="A30" s="106"/>
      <c r="B30" s="106"/>
      <c r="C30" s="106"/>
      <c r="D30" s="106"/>
      <c r="E30" s="106"/>
      <c r="F30" s="107"/>
      <c r="G30" s="107"/>
      <c r="H30" s="107"/>
      <c r="I30" s="107"/>
      <c r="J30" s="107"/>
      <c r="K30" s="108"/>
      <c r="L30" s="108"/>
      <c r="M30" s="108"/>
      <c r="N30" s="108"/>
      <c r="O30" s="105"/>
      <c r="P30" s="105"/>
      <c r="Q30" s="105"/>
      <c r="R30" s="105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</row>
    <row r="31" spans="1:51">
      <c r="A31" s="106"/>
      <c r="B31" s="106"/>
      <c r="C31" s="106"/>
      <c r="D31" s="106"/>
      <c r="E31" s="106"/>
      <c r="F31" s="107"/>
      <c r="G31" s="107"/>
      <c r="H31" s="107"/>
      <c r="I31" s="107"/>
      <c r="J31" s="107"/>
      <c r="K31" s="108"/>
      <c r="L31" s="108"/>
      <c r="M31" s="108"/>
      <c r="N31" s="108"/>
      <c r="O31" s="105"/>
      <c r="P31" s="105"/>
      <c r="Q31" s="105"/>
      <c r="R31" s="105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</row>
    <row r="32" spans="1:51">
      <c r="A32" s="106"/>
      <c r="B32" s="106"/>
      <c r="C32" s="106"/>
      <c r="D32" s="106"/>
      <c r="E32" s="106"/>
      <c r="F32" s="107"/>
      <c r="G32" s="107"/>
      <c r="H32" s="107"/>
      <c r="I32" s="107"/>
      <c r="J32" s="107"/>
      <c r="K32" s="108"/>
      <c r="L32" s="108"/>
      <c r="M32" s="108"/>
      <c r="N32" s="108"/>
      <c r="O32" s="105"/>
      <c r="P32" s="105"/>
      <c r="Q32" s="105"/>
      <c r="R32" s="105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</row>
    <row r="33" spans="1:51">
      <c r="A33" s="106"/>
      <c r="B33" s="106"/>
      <c r="C33" s="106"/>
      <c r="D33" s="106"/>
      <c r="E33" s="106"/>
      <c r="F33" s="107"/>
      <c r="G33" s="107"/>
      <c r="H33" s="107"/>
      <c r="I33" s="107"/>
      <c r="J33" s="107"/>
      <c r="K33" s="108"/>
      <c r="L33" s="108"/>
      <c r="M33" s="108"/>
      <c r="N33" s="108"/>
      <c r="O33" s="105"/>
      <c r="P33" s="105"/>
      <c r="Q33" s="105"/>
      <c r="R33" s="105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  <c r="AY33" s="107"/>
    </row>
  </sheetData>
  <mergeCells count="106">
    <mergeCell ref="A1:AR1"/>
    <mergeCell ref="A2:AR3"/>
    <mergeCell ref="A4:AR11"/>
    <mergeCell ref="A12:AR13"/>
    <mergeCell ref="A14:AR14"/>
    <mergeCell ref="AA29:AI29"/>
    <mergeCell ref="AJ29:AY29"/>
    <mergeCell ref="A16:AZ16"/>
    <mergeCell ref="A30:E30"/>
    <mergeCell ref="F30:J30"/>
    <mergeCell ref="K30:N30"/>
    <mergeCell ref="S30:Z30"/>
    <mergeCell ref="AA30:AI30"/>
    <mergeCell ref="AJ30:AY30"/>
    <mergeCell ref="AA25:AI25"/>
    <mergeCell ref="AJ25:AY25"/>
    <mergeCell ref="A26:E26"/>
    <mergeCell ref="F26:J26"/>
    <mergeCell ref="K26:N26"/>
    <mergeCell ref="S26:Z26"/>
    <mergeCell ref="AA26:AI26"/>
    <mergeCell ref="AJ20:AY20"/>
    <mergeCell ref="A20:E20"/>
    <mergeCell ref="A21:E21"/>
    <mergeCell ref="O20:R20"/>
    <mergeCell ref="O22:R22"/>
    <mergeCell ref="S20:Z20"/>
    <mergeCell ref="S21:Z21"/>
    <mergeCell ref="AA20:AI20"/>
    <mergeCell ref="AA21:AI21"/>
    <mergeCell ref="A18:E18"/>
    <mergeCell ref="F18:J18"/>
    <mergeCell ref="A22:E22"/>
    <mergeCell ref="F20:J20"/>
    <mergeCell ref="F21:J21"/>
    <mergeCell ref="K20:N20"/>
    <mergeCell ref="K21:N21"/>
    <mergeCell ref="AJ31:AY31"/>
    <mergeCell ref="O27:R27"/>
    <mergeCell ref="O26:R26"/>
    <mergeCell ref="O29:R29"/>
    <mergeCell ref="O28:R28"/>
    <mergeCell ref="A28:E28"/>
    <mergeCell ref="F28:J28"/>
    <mergeCell ref="K28:N28"/>
    <mergeCell ref="S28:Z28"/>
    <mergeCell ref="AA28:AI28"/>
    <mergeCell ref="AJ26:AY26"/>
    <mergeCell ref="A27:E27"/>
    <mergeCell ref="F27:J27"/>
    <mergeCell ref="K27:N27"/>
    <mergeCell ref="S27:Z27"/>
    <mergeCell ref="AA27:AI27"/>
    <mergeCell ref="A31:E31"/>
    <mergeCell ref="F31:J31"/>
    <mergeCell ref="K31:N31"/>
    <mergeCell ref="S31:Z31"/>
    <mergeCell ref="AJ27:AY27"/>
    <mergeCell ref="O31:R31"/>
    <mergeCell ref="O30:R30"/>
    <mergeCell ref="AA31:AI31"/>
    <mergeCell ref="O33:R33"/>
    <mergeCell ref="O32:R32"/>
    <mergeCell ref="A32:E32"/>
    <mergeCell ref="F32:J32"/>
    <mergeCell ref="K32:N32"/>
    <mergeCell ref="S32:Z32"/>
    <mergeCell ref="AA32:AI32"/>
    <mergeCell ref="AJ32:AY32"/>
    <mergeCell ref="A33:E33"/>
    <mergeCell ref="F33:J33"/>
    <mergeCell ref="K33:N33"/>
    <mergeCell ref="S33:Z33"/>
    <mergeCell ref="AA33:AI33"/>
    <mergeCell ref="AJ33:AY33"/>
    <mergeCell ref="A23:E23"/>
    <mergeCell ref="F23:J23"/>
    <mergeCell ref="K23:N23"/>
    <mergeCell ref="S23:Z23"/>
    <mergeCell ref="AA23:AI23"/>
    <mergeCell ref="AJ23:AY23"/>
    <mergeCell ref="O23:R23"/>
    <mergeCell ref="AJ21:AY21"/>
    <mergeCell ref="F24:J24"/>
    <mergeCell ref="K24:N24"/>
    <mergeCell ref="S24:Z24"/>
    <mergeCell ref="AA24:AI24"/>
    <mergeCell ref="AJ24:AY24"/>
    <mergeCell ref="F22:J22"/>
    <mergeCell ref="K22:N22"/>
    <mergeCell ref="S22:Z22"/>
    <mergeCell ref="AA22:AI22"/>
    <mergeCell ref="AJ22:AY22"/>
    <mergeCell ref="O21:R21"/>
    <mergeCell ref="O25:R25"/>
    <mergeCell ref="O24:R24"/>
    <mergeCell ref="A24:E24"/>
    <mergeCell ref="AJ28:AY28"/>
    <mergeCell ref="A29:E29"/>
    <mergeCell ref="F29:J29"/>
    <mergeCell ref="K29:N29"/>
    <mergeCell ref="S29:Z29"/>
    <mergeCell ref="A25:E25"/>
    <mergeCell ref="F25:J25"/>
    <mergeCell ref="K25:N25"/>
    <mergeCell ref="S25:Z25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3"/>
  <sheetViews>
    <sheetView showGridLines="0" view="pageBreakPreview" zoomScaleNormal="100" zoomScaleSheetLayoutView="100" workbookViewId="0">
      <selection sqref="A1:AZ1"/>
    </sheetView>
  </sheetViews>
  <sheetFormatPr defaultColWidth="2.5" defaultRowHeight="18.75"/>
  <cols>
    <col min="1" max="16384" width="2.5" style="4"/>
  </cols>
  <sheetData>
    <row r="1" spans="1:52" ht="28.5" customHeight="1">
      <c r="A1" s="121" t="str">
        <f ca="1">RIGHT(CELL("filename",A1),LEN(CELL("filename",A1))-FIND("]",CELL("filename",A1)))</f>
        <v>背景・目的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2" spans="1:52" ht="15" customHeight="1"/>
    <row r="3" spans="1:52" ht="15" customHeight="1">
      <c r="A3" s="3" t="s">
        <v>62</v>
      </c>
    </row>
    <row r="4" spans="1:52" s="2" customFormat="1" ht="15" customHeight="1"/>
    <row r="5" spans="1:52" s="2" customFormat="1" ht="15" customHeight="1">
      <c r="C5" s="2" t="s">
        <v>64</v>
      </c>
    </row>
    <row r="6" spans="1:52" s="2" customFormat="1" ht="15" customHeight="1">
      <c r="C6" s="2" t="s">
        <v>65</v>
      </c>
    </row>
    <row r="7" spans="1:52" s="2" customFormat="1" ht="15" customHeight="1"/>
    <row r="8" spans="1:52" s="2" customFormat="1" ht="15" customHeight="1"/>
    <row r="9" spans="1:52" s="2" customFormat="1" ht="15" customHeight="1"/>
    <row r="10" spans="1:52" s="2" customFormat="1" ht="15" customHeight="1"/>
    <row r="11" spans="1:52" s="2" customFormat="1" ht="15" customHeight="1"/>
    <row r="12" spans="1:52" s="2" customFormat="1" ht="15" customHeight="1"/>
    <row r="13" spans="1:52" s="2" customFormat="1" ht="15" customHeight="1"/>
    <row r="14" spans="1:52" s="2" customFormat="1" ht="15" customHeight="1"/>
    <row r="15" spans="1:52" s="2" customFormat="1" ht="15" customHeight="1"/>
    <row r="16" spans="1:52" s="2" customFormat="1" ht="15" customHeight="1"/>
    <row r="17" spans="1:52" s="2" customFormat="1" ht="15" customHeight="1"/>
    <row r="18" spans="1:52" s="2" customFormat="1" ht="15" customHeight="1"/>
    <row r="19" spans="1:52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 t="s">
        <v>63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 t="s">
        <v>66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 t="s">
        <v>67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 t="s">
        <v>68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</sheetData>
  <mergeCells count="1">
    <mergeCell ref="A1:AZ1"/>
  </mergeCells>
  <phoneticPr fontId="1"/>
  <pageMargins left="0.7" right="0.7" top="0.75" bottom="0.75" header="0.3" footer="0.3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58"/>
  <sheetViews>
    <sheetView showGridLines="0" tabSelected="1" view="pageBreakPreview" topLeftCell="A5" zoomScaleNormal="100" zoomScaleSheetLayoutView="100" workbookViewId="0">
      <selection activeCell="O58" sqref="O58"/>
    </sheetView>
  </sheetViews>
  <sheetFormatPr defaultColWidth="2.5" defaultRowHeight="15" customHeight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22" t="str">
        <f ca="1">RIGHT(CELL("filename",A1),LEN(CELL("filename",A1))-FIND("]",CELL("filename",A1)))</f>
        <v>ツール概要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3" spans="1:57" ht="19.5">
      <c r="A3" s="3" t="s">
        <v>24</v>
      </c>
    </row>
    <row r="15" spans="1:57" ht="15" customHeight="1">
      <c r="BE15" s="4"/>
    </row>
    <row r="24" spans="1:48" ht="15" customHeight="1">
      <c r="AV24" s="4"/>
    </row>
    <row r="29" spans="1:48" ht="15" customHeight="1">
      <c r="A29" s="3" t="s">
        <v>27</v>
      </c>
    </row>
    <row r="30" spans="1:48" ht="15" customHeight="1">
      <c r="B30" s="1" t="s">
        <v>30</v>
      </c>
    </row>
    <row r="31" spans="1:48" ht="15" customHeight="1">
      <c r="B31" s="1" t="s">
        <v>31</v>
      </c>
    </row>
    <row r="33" spans="1:51" ht="19.5">
      <c r="A33" s="3" t="s">
        <v>29</v>
      </c>
    </row>
    <row r="34" spans="1:51" ht="15" customHeight="1">
      <c r="B34" s="18" t="s">
        <v>0</v>
      </c>
      <c r="C34" s="20"/>
      <c r="D34" s="18" t="s">
        <v>10</v>
      </c>
      <c r="E34" s="19"/>
      <c r="F34" s="19"/>
      <c r="G34" s="19"/>
      <c r="H34" s="19"/>
      <c r="I34" s="19"/>
      <c r="J34" s="19"/>
      <c r="K34" s="19"/>
      <c r="L34" s="19"/>
      <c r="M34" s="20"/>
      <c r="N34" s="18" t="s">
        <v>1</v>
      </c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20"/>
      <c r="AD34" s="18" t="s">
        <v>3</v>
      </c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20"/>
    </row>
    <row r="35" spans="1:51" ht="15" customHeight="1">
      <c r="B35" s="11">
        <v>1</v>
      </c>
      <c r="C35" s="13"/>
      <c r="D35" s="11" t="s">
        <v>32</v>
      </c>
      <c r="E35" s="12"/>
      <c r="F35" s="12"/>
      <c r="G35" s="12"/>
      <c r="H35" s="12"/>
      <c r="I35" s="12"/>
      <c r="J35" s="12"/>
      <c r="K35" s="12"/>
      <c r="L35" s="12"/>
      <c r="M35" s="13"/>
      <c r="N35" s="11" t="s">
        <v>33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/>
      <c r="AD35" s="11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3"/>
    </row>
    <row r="36" spans="1:51" ht="15" customHeight="1">
      <c r="B36" s="11"/>
      <c r="C36" s="13"/>
      <c r="D36" s="11" t="s">
        <v>69</v>
      </c>
      <c r="E36" s="12"/>
      <c r="F36" s="12"/>
      <c r="G36" s="12"/>
      <c r="H36" s="12"/>
      <c r="I36" s="12"/>
      <c r="J36" s="12"/>
      <c r="K36" s="12"/>
      <c r="L36" s="12"/>
      <c r="M36" s="13"/>
      <c r="N36" s="11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/>
      <c r="AD36" s="11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3"/>
    </row>
    <row r="38" spans="1:51" ht="19.5">
      <c r="A38" s="6" t="s">
        <v>57</v>
      </c>
      <c r="B38" s="2"/>
      <c r="C38" s="2"/>
      <c r="D38" s="2"/>
      <c r="E38" s="2"/>
      <c r="F38" s="2"/>
      <c r="G38" s="2"/>
      <c r="H38" s="2"/>
      <c r="I38" s="2"/>
      <c r="J38" s="2"/>
    </row>
    <row r="39" spans="1:51" ht="15" customHeight="1">
      <c r="A39" s="2"/>
      <c r="B39" s="18" t="s">
        <v>328</v>
      </c>
      <c r="C39" s="19"/>
      <c r="D39" s="19"/>
      <c r="E39" s="19"/>
      <c r="F39" s="19"/>
      <c r="G39" s="19"/>
      <c r="H39" s="20"/>
      <c r="I39" s="18" t="s">
        <v>330</v>
      </c>
      <c r="J39" s="19"/>
      <c r="K39" s="19"/>
      <c r="L39" s="19"/>
      <c r="M39" s="20"/>
      <c r="N39" s="18" t="s">
        <v>329</v>
      </c>
      <c r="O39" s="19"/>
      <c r="P39" s="19"/>
      <c r="Q39" s="19"/>
      <c r="R39" s="19"/>
      <c r="S39" s="19"/>
      <c r="T39" s="19"/>
      <c r="U39" s="20"/>
      <c r="V39" s="18" t="s">
        <v>332</v>
      </c>
      <c r="W39" s="19"/>
      <c r="X39" s="19"/>
      <c r="Y39" s="19"/>
      <c r="Z39" s="19"/>
      <c r="AA39" s="19"/>
      <c r="AB39" s="19"/>
      <c r="AC39" s="19"/>
      <c r="AD39" s="19"/>
      <c r="AE39" s="20"/>
      <c r="AF39" s="19" t="s">
        <v>3</v>
      </c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20"/>
    </row>
    <row r="40" spans="1:51" ht="15" customHeight="1">
      <c r="A40" s="2"/>
      <c r="B40" s="34" t="s">
        <v>334</v>
      </c>
      <c r="C40" s="22"/>
      <c r="D40" s="22"/>
      <c r="E40" s="22"/>
      <c r="F40" s="22"/>
      <c r="G40" s="22"/>
      <c r="H40" s="23"/>
      <c r="I40" s="34" t="s">
        <v>331</v>
      </c>
      <c r="J40" s="22"/>
      <c r="K40" s="22"/>
      <c r="L40" s="22"/>
      <c r="M40" s="23"/>
      <c r="N40" s="34" t="s">
        <v>356</v>
      </c>
      <c r="O40" s="22"/>
      <c r="P40" s="22"/>
      <c r="Q40" s="22"/>
      <c r="R40" s="22"/>
      <c r="S40" s="22"/>
      <c r="T40" s="22"/>
      <c r="U40" s="23"/>
      <c r="V40" s="97" t="s">
        <v>378</v>
      </c>
      <c r="W40" s="22"/>
      <c r="X40" s="22"/>
      <c r="Y40" s="22"/>
      <c r="Z40" s="22"/>
      <c r="AA40" s="22"/>
      <c r="AB40" s="22"/>
      <c r="AC40" s="22"/>
      <c r="AD40" s="22"/>
      <c r="AE40" s="23"/>
      <c r="AF40" s="98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3"/>
    </row>
    <row r="41" spans="1:51" ht="15" customHeight="1">
      <c r="A41" s="2"/>
      <c r="B41" s="11" t="s">
        <v>380</v>
      </c>
      <c r="C41" s="12"/>
      <c r="D41" s="12"/>
      <c r="E41" s="12"/>
      <c r="F41" s="12"/>
      <c r="G41" s="12"/>
      <c r="H41" s="13"/>
      <c r="I41" s="11" t="s">
        <v>331</v>
      </c>
      <c r="J41" s="12"/>
      <c r="K41" s="12"/>
      <c r="L41" s="12"/>
      <c r="M41" s="13"/>
      <c r="N41" s="11" t="s">
        <v>356</v>
      </c>
      <c r="O41" s="12"/>
      <c r="P41" s="12"/>
      <c r="Q41" s="12"/>
      <c r="R41" s="12"/>
      <c r="S41" s="12"/>
      <c r="T41" s="12"/>
      <c r="U41" s="13"/>
      <c r="V41" s="103" t="s">
        <v>352</v>
      </c>
      <c r="W41" s="12"/>
      <c r="X41" s="12"/>
      <c r="Y41" s="12"/>
      <c r="Z41" s="12"/>
      <c r="AA41" s="12"/>
      <c r="AB41" s="12"/>
      <c r="AC41" s="12"/>
      <c r="AD41" s="12"/>
      <c r="AE41" s="13"/>
      <c r="AF41" s="104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3"/>
    </row>
    <row r="42" spans="1:51" ht="1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2"/>
      <c r="W42" s="8"/>
      <c r="X42" s="8"/>
      <c r="Y42" s="8"/>
      <c r="Z42" s="8"/>
      <c r="AA42" s="8"/>
      <c r="AB42" s="8"/>
      <c r="AC42" s="8"/>
      <c r="AD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51" ht="15" customHeight="1">
      <c r="B43" s="69" t="s">
        <v>355</v>
      </c>
    </row>
    <row r="44" spans="1:51" ht="15" customHeight="1">
      <c r="B44" s="80" t="s">
        <v>341</v>
      </c>
      <c r="C44" s="70"/>
      <c r="D44" s="70"/>
      <c r="E44" s="70"/>
      <c r="F44" s="70"/>
      <c r="G44" s="70"/>
      <c r="H44" s="81"/>
      <c r="I44" s="80" t="s">
        <v>348</v>
      </c>
      <c r="J44" s="70"/>
      <c r="K44" s="70"/>
      <c r="L44" s="70"/>
      <c r="M44" s="70"/>
      <c r="N44" s="70"/>
      <c r="O44" s="87" t="s">
        <v>192</v>
      </c>
      <c r="P44" s="70"/>
      <c r="Q44" s="70"/>
      <c r="R44" s="70"/>
      <c r="S44" s="70"/>
      <c r="T44" s="81"/>
      <c r="U44" s="80" t="s">
        <v>345</v>
      </c>
      <c r="V44" s="81"/>
      <c r="W44" s="80" t="s">
        <v>3</v>
      </c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  <c r="AX44" s="70"/>
      <c r="AY44" s="82"/>
    </row>
    <row r="45" spans="1:51" ht="15" customHeight="1">
      <c r="B45" s="90" t="s">
        <v>337</v>
      </c>
      <c r="C45" s="22"/>
      <c r="D45" s="22"/>
      <c r="E45" s="22"/>
      <c r="F45" s="22"/>
      <c r="G45" s="22"/>
      <c r="H45" s="74"/>
      <c r="I45" s="90" t="s">
        <v>347</v>
      </c>
      <c r="J45" s="22"/>
      <c r="K45" s="22"/>
      <c r="L45" s="22"/>
      <c r="M45" s="22"/>
      <c r="N45" s="74"/>
      <c r="O45" s="71" t="s">
        <v>342</v>
      </c>
      <c r="P45" s="85"/>
      <c r="Q45" s="85"/>
      <c r="R45" s="85"/>
      <c r="S45" s="85"/>
      <c r="T45" s="88"/>
      <c r="U45" s="71" t="s">
        <v>358</v>
      </c>
      <c r="V45" s="13"/>
      <c r="W45" s="71" t="s">
        <v>359</v>
      </c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83"/>
      <c r="AV45" s="83"/>
      <c r="AW45" s="83"/>
      <c r="AX45" s="83"/>
      <c r="AY45" s="72"/>
    </row>
    <row r="46" spans="1:51" ht="15" customHeight="1">
      <c r="B46" s="93" t="s">
        <v>339</v>
      </c>
      <c r="C46" s="8"/>
      <c r="D46" s="8"/>
      <c r="E46" s="8"/>
      <c r="F46" s="8"/>
      <c r="G46" s="8"/>
      <c r="H46" s="94"/>
      <c r="I46" s="93"/>
      <c r="J46" s="8"/>
      <c r="K46" s="8"/>
      <c r="L46" s="8"/>
      <c r="M46" s="8"/>
      <c r="N46" s="94"/>
      <c r="O46" s="73" t="s">
        <v>343</v>
      </c>
      <c r="P46" s="91"/>
      <c r="Q46" s="91"/>
      <c r="R46" s="91"/>
      <c r="S46" s="91"/>
      <c r="T46" s="92"/>
      <c r="U46" s="71" t="s">
        <v>358</v>
      </c>
      <c r="V46" s="23"/>
      <c r="W46" s="71" t="s">
        <v>359</v>
      </c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83"/>
      <c r="AV46" s="83"/>
      <c r="AW46" s="83"/>
      <c r="AX46" s="83"/>
      <c r="AY46" s="72"/>
    </row>
    <row r="47" spans="1:51" ht="15" customHeight="1">
      <c r="B47" s="93"/>
      <c r="C47" s="8"/>
      <c r="D47" s="8"/>
      <c r="E47" s="8"/>
      <c r="F47" s="8"/>
      <c r="G47" s="8"/>
      <c r="H47" s="94"/>
      <c r="I47" s="93"/>
      <c r="J47" s="8"/>
      <c r="K47" s="8"/>
      <c r="L47" s="8"/>
      <c r="M47" s="8"/>
      <c r="N47" s="94"/>
      <c r="O47" s="95" t="s">
        <v>351</v>
      </c>
      <c r="P47" s="91"/>
      <c r="Q47" s="91"/>
      <c r="R47" s="91"/>
      <c r="S47" s="91"/>
      <c r="T47" s="92"/>
      <c r="U47" s="71" t="s">
        <v>358</v>
      </c>
      <c r="V47" s="23"/>
      <c r="W47" s="71" t="s">
        <v>359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83"/>
      <c r="AV47" s="83"/>
      <c r="AW47" s="83"/>
      <c r="AX47" s="83"/>
      <c r="AY47" s="72"/>
    </row>
    <row r="48" spans="1:51" ht="15" customHeight="1">
      <c r="B48" s="93"/>
      <c r="C48" s="8"/>
      <c r="D48" s="8"/>
      <c r="E48" s="8"/>
      <c r="F48" s="8"/>
      <c r="G48" s="8"/>
      <c r="H48" s="94"/>
      <c r="I48" s="90" t="s">
        <v>350</v>
      </c>
      <c r="J48" s="22"/>
      <c r="K48" s="22"/>
      <c r="L48" s="22"/>
      <c r="M48" s="22"/>
      <c r="N48" s="74"/>
      <c r="O48" s="71" t="s">
        <v>342</v>
      </c>
      <c r="P48" s="91"/>
      <c r="Q48" s="91"/>
      <c r="R48" s="91"/>
      <c r="S48" s="91"/>
      <c r="T48" s="92"/>
      <c r="U48" s="71" t="s">
        <v>336</v>
      </c>
      <c r="V48" s="99"/>
      <c r="W48" s="71" t="s">
        <v>344</v>
      </c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83"/>
      <c r="AV48" s="83"/>
      <c r="AW48" s="83"/>
      <c r="AX48" s="83"/>
      <c r="AY48" s="72"/>
    </row>
    <row r="49" spans="2:51" ht="15" customHeight="1">
      <c r="B49" s="93"/>
      <c r="C49" s="8"/>
      <c r="D49" s="8"/>
      <c r="E49" s="8"/>
      <c r="F49" s="8"/>
      <c r="G49" s="8"/>
      <c r="H49" s="94"/>
      <c r="I49" s="93"/>
      <c r="J49" s="8"/>
      <c r="K49" s="8"/>
      <c r="L49" s="8"/>
      <c r="M49" s="8"/>
      <c r="N49" s="94"/>
      <c r="O49" s="73" t="s">
        <v>343</v>
      </c>
      <c r="P49" s="91"/>
      <c r="Q49" s="91"/>
      <c r="R49" s="91"/>
      <c r="S49" s="91"/>
      <c r="T49" s="92"/>
      <c r="U49" s="71" t="s">
        <v>336</v>
      </c>
      <c r="V49" s="99"/>
      <c r="W49" s="71" t="s">
        <v>344</v>
      </c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83"/>
      <c r="AV49" s="83"/>
      <c r="AW49" s="83"/>
      <c r="AX49" s="83"/>
      <c r="AY49" s="72"/>
    </row>
    <row r="50" spans="2:51" ht="15" customHeight="1">
      <c r="B50" s="75"/>
      <c r="C50" s="29"/>
      <c r="D50" s="29"/>
      <c r="E50" s="29"/>
      <c r="F50" s="29"/>
      <c r="G50" s="29"/>
      <c r="H50" s="76"/>
      <c r="I50" s="75"/>
      <c r="J50" s="29"/>
      <c r="K50" s="29"/>
      <c r="L50" s="29"/>
      <c r="M50" s="29"/>
      <c r="N50" s="76"/>
      <c r="O50" s="95" t="s">
        <v>351</v>
      </c>
      <c r="P50" s="86"/>
      <c r="Q50" s="86"/>
      <c r="R50" s="86"/>
      <c r="S50" s="86"/>
      <c r="T50" s="89"/>
      <c r="U50" s="71" t="s">
        <v>336</v>
      </c>
      <c r="V50" s="99"/>
      <c r="W50" s="71" t="s">
        <v>344</v>
      </c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  <c r="AR50" s="83"/>
      <c r="AS50" s="83"/>
      <c r="AT50" s="83"/>
      <c r="AU50" s="83"/>
      <c r="AV50" s="83"/>
      <c r="AW50" s="83"/>
      <c r="AX50" s="83"/>
      <c r="AY50" s="72"/>
    </row>
    <row r="51" spans="2:51" ht="15" customHeight="1">
      <c r="B51" s="90" t="s">
        <v>338</v>
      </c>
      <c r="C51" s="22"/>
      <c r="D51" s="22"/>
      <c r="E51" s="22"/>
      <c r="F51" s="22"/>
      <c r="G51" s="22"/>
      <c r="H51" s="74"/>
      <c r="I51" s="90" t="s">
        <v>346</v>
      </c>
      <c r="J51" s="22"/>
      <c r="K51" s="22"/>
      <c r="L51" s="22"/>
      <c r="M51" s="22"/>
      <c r="N51" s="74"/>
      <c r="O51" s="71" t="s">
        <v>342</v>
      </c>
      <c r="P51" s="85"/>
      <c r="Q51" s="85"/>
      <c r="R51" s="85"/>
      <c r="S51" s="85"/>
      <c r="T51" s="88"/>
      <c r="U51" s="71" t="s">
        <v>333</v>
      </c>
      <c r="V51" s="99"/>
      <c r="W51" s="71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3"/>
      <c r="AV51" s="83"/>
      <c r="AW51" s="83"/>
      <c r="AX51" s="83"/>
      <c r="AY51" s="72"/>
    </row>
    <row r="52" spans="2:51" ht="15" customHeight="1">
      <c r="B52" s="93" t="s">
        <v>340</v>
      </c>
      <c r="C52" s="8"/>
      <c r="D52" s="8"/>
      <c r="E52" s="8"/>
      <c r="F52" s="8"/>
      <c r="G52" s="8"/>
      <c r="H52" s="94"/>
      <c r="I52" s="93"/>
      <c r="J52" s="8"/>
      <c r="K52" s="8"/>
      <c r="L52" s="8"/>
      <c r="M52" s="8"/>
      <c r="N52" s="94"/>
      <c r="O52" s="73" t="s">
        <v>343</v>
      </c>
      <c r="P52" s="91"/>
      <c r="Q52" s="91"/>
      <c r="R52" s="91"/>
      <c r="S52" s="91"/>
      <c r="T52" s="92"/>
      <c r="U52" s="71" t="s">
        <v>333</v>
      </c>
      <c r="V52" s="99"/>
      <c r="W52" s="71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  <c r="AR52" s="84"/>
      <c r="AS52" s="84"/>
      <c r="AT52" s="84"/>
      <c r="AU52" s="83"/>
      <c r="AV52" s="83"/>
      <c r="AW52" s="83"/>
      <c r="AX52" s="83"/>
      <c r="AY52" s="72"/>
    </row>
    <row r="53" spans="2:51" ht="15" customHeight="1">
      <c r="B53" s="93"/>
      <c r="C53" s="8"/>
      <c r="D53" s="8"/>
      <c r="E53" s="8"/>
      <c r="F53" s="8"/>
      <c r="G53" s="8"/>
      <c r="H53" s="94"/>
      <c r="I53" s="93"/>
      <c r="J53" s="8"/>
      <c r="K53" s="8"/>
      <c r="L53" s="8"/>
      <c r="M53" s="8"/>
      <c r="N53" s="94"/>
      <c r="O53" s="95" t="s">
        <v>351</v>
      </c>
      <c r="P53" s="91"/>
      <c r="Q53" s="91"/>
      <c r="R53" s="91"/>
      <c r="S53" s="91"/>
      <c r="T53" s="92"/>
      <c r="U53" s="71" t="s">
        <v>336</v>
      </c>
      <c r="V53" s="23"/>
      <c r="W53" s="71" t="s">
        <v>353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3"/>
      <c r="AV53" s="83"/>
      <c r="AW53" s="83"/>
      <c r="AX53" s="83"/>
      <c r="AY53" s="72"/>
    </row>
    <row r="54" spans="2:51" ht="15" customHeight="1">
      <c r="B54" s="93"/>
      <c r="C54" s="8"/>
      <c r="D54" s="8"/>
      <c r="E54" s="8"/>
      <c r="F54" s="8"/>
      <c r="G54" s="8"/>
      <c r="H54" s="94"/>
      <c r="I54" s="90" t="s">
        <v>349</v>
      </c>
      <c r="J54" s="22"/>
      <c r="K54" s="22"/>
      <c r="L54" s="22"/>
      <c r="M54" s="22"/>
      <c r="N54" s="74"/>
      <c r="O54" s="71" t="s">
        <v>342</v>
      </c>
      <c r="P54" s="91"/>
      <c r="Q54" s="91"/>
      <c r="R54" s="91"/>
      <c r="S54" s="91"/>
      <c r="T54" s="92"/>
      <c r="U54" s="96" t="s">
        <v>335</v>
      </c>
      <c r="V54" s="23"/>
      <c r="W54" s="84" t="s">
        <v>354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3"/>
      <c r="AV54" s="83"/>
      <c r="AW54" s="83"/>
      <c r="AX54" s="83"/>
      <c r="AY54" s="72"/>
    </row>
    <row r="55" spans="2:51" ht="15" customHeight="1">
      <c r="B55" s="93"/>
      <c r="C55" s="8"/>
      <c r="D55" s="8"/>
      <c r="E55" s="8"/>
      <c r="F55" s="8"/>
      <c r="G55" s="8"/>
      <c r="H55" s="94"/>
      <c r="I55" s="93"/>
      <c r="J55" s="8"/>
      <c r="K55" s="8"/>
      <c r="L55" s="8"/>
      <c r="M55" s="8"/>
      <c r="N55" s="94"/>
      <c r="O55" s="73" t="s">
        <v>343</v>
      </c>
      <c r="P55" s="91"/>
      <c r="Q55" s="91"/>
      <c r="R55" s="91"/>
      <c r="S55" s="91"/>
      <c r="T55" s="92"/>
      <c r="U55" s="96" t="s">
        <v>335</v>
      </c>
      <c r="V55" s="23"/>
      <c r="W55" s="84" t="s">
        <v>352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  <c r="AR55" s="84"/>
      <c r="AS55" s="84"/>
      <c r="AT55" s="84"/>
      <c r="AU55" s="83"/>
      <c r="AV55" s="83"/>
      <c r="AW55" s="83"/>
      <c r="AX55" s="83"/>
      <c r="AY55" s="72"/>
    </row>
    <row r="56" spans="2:51" ht="15" customHeight="1">
      <c r="B56" s="77"/>
      <c r="C56" s="78"/>
      <c r="D56" s="78"/>
      <c r="E56" s="78"/>
      <c r="F56" s="78"/>
      <c r="G56" s="78"/>
      <c r="H56" s="79"/>
      <c r="I56" s="75"/>
      <c r="J56" s="29"/>
      <c r="K56" s="29"/>
      <c r="L56" s="29"/>
      <c r="M56" s="29"/>
      <c r="N56" s="76"/>
      <c r="O56" s="95" t="s">
        <v>351</v>
      </c>
      <c r="P56" s="86"/>
      <c r="Q56" s="86"/>
      <c r="R56" s="86"/>
      <c r="S56" s="86"/>
      <c r="T56" s="89"/>
      <c r="U56" s="96" t="s">
        <v>335</v>
      </c>
      <c r="V56" s="99"/>
      <c r="W56" s="84" t="s">
        <v>352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3"/>
      <c r="AV56" s="83"/>
      <c r="AW56" s="83"/>
      <c r="AX56" s="83"/>
      <c r="AY56" s="72"/>
    </row>
    <row r="57" spans="2:51" ht="15" customHeight="1">
      <c r="O57" s="1" t="s">
        <v>357</v>
      </c>
      <c r="AE57" s="5"/>
    </row>
    <row r="58" spans="2:51" ht="15" customHeight="1">
      <c r="O58" s="102" t="s">
        <v>375</v>
      </c>
      <c r="AE58" s="5"/>
    </row>
  </sheetData>
  <mergeCells count="1"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3" t="str">
        <f ca="1">RIGHT(CELL("filename",A1),LEN(CELL("filename",A1))-FIND("]",CELL("filename",A1)))</f>
        <v>業務概要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</row>
    <row r="2" spans="1:52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s="5" customFormat="1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5" customFormat="1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5" customFormat="1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5" customFormat="1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</sheetData>
  <mergeCells count="1"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W57"/>
  <sheetViews>
    <sheetView showGridLines="0" view="pageBreakPreview" zoomScaleNormal="100" zoomScaleSheetLayoutView="100" workbookViewId="0">
      <selection sqref="A1:BJ1"/>
    </sheetView>
  </sheetViews>
  <sheetFormatPr defaultColWidth="2.5" defaultRowHeight="15" customHeight="1"/>
  <cols>
    <col min="1" max="16384" width="2.5" style="1"/>
  </cols>
  <sheetData>
    <row r="1" spans="1:72" ht="28.5">
      <c r="A1" s="123" t="str">
        <f ca="1">RIGHT(CELL("filename",A1),LEN(CELL("filename",A1))-FIND("]",CELL("filename",A1)))</f>
        <v>入出力仕様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</row>
    <row r="3" spans="1:72" s="5" customFormat="1" ht="15" customHeight="1">
      <c r="A3" s="3" t="s">
        <v>25</v>
      </c>
      <c r="B3" s="4"/>
      <c r="C3" s="4"/>
      <c r="D3" s="4"/>
      <c r="E3" s="4"/>
      <c r="F3" s="4"/>
      <c r="G3" s="4"/>
    </row>
    <row r="4" spans="1:72" ht="15" customHeight="1">
      <c r="A4" s="4"/>
      <c r="B4" s="7" t="s">
        <v>13</v>
      </c>
      <c r="C4" s="7"/>
    </row>
    <row r="5" spans="1:72" ht="15" customHeight="1">
      <c r="A5" s="4"/>
      <c r="B5" s="139" t="s">
        <v>0</v>
      </c>
      <c r="C5" s="139"/>
      <c r="D5" s="139" t="s">
        <v>10</v>
      </c>
      <c r="E5" s="139"/>
      <c r="F5" s="139"/>
      <c r="G5" s="139"/>
      <c r="H5" s="139"/>
      <c r="I5" s="139"/>
      <c r="J5" s="139"/>
      <c r="K5" s="139"/>
      <c r="L5" s="139"/>
      <c r="M5" s="139"/>
      <c r="N5" s="139" t="s">
        <v>189</v>
      </c>
      <c r="O5" s="139"/>
      <c r="P5" s="139"/>
      <c r="Q5" s="139"/>
      <c r="R5" s="139"/>
      <c r="S5" s="139"/>
      <c r="T5" s="139"/>
      <c r="U5" s="139"/>
      <c r="V5" s="139"/>
      <c r="W5" s="139"/>
      <c r="X5" s="139" t="s">
        <v>12</v>
      </c>
      <c r="Y5" s="139"/>
      <c r="Z5" s="139"/>
      <c r="AA5" s="139"/>
      <c r="AB5" s="140"/>
      <c r="AC5" s="139" t="s">
        <v>16</v>
      </c>
      <c r="AD5" s="139"/>
      <c r="AE5" s="139"/>
      <c r="AF5" s="141" t="s">
        <v>374</v>
      </c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1" t="s">
        <v>11</v>
      </c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3"/>
    </row>
    <row r="6" spans="1:72" ht="15" customHeight="1">
      <c r="A6" s="4"/>
      <c r="B6" s="125">
        <v>1</v>
      </c>
      <c r="C6" s="125"/>
      <c r="D6" s="11" t="s">
        <v>15</v>
      </c>
      <c r="E6" s="12"/>
      <c r="F6" s="12"/>
      <c r="G6" s="12"/>
      <c r="H6" s="12"/>
      <c r="I6" s="12"/>
      <c r="J6" s="12"/>
      <c r="K6" s="12"/>
      <c r="L6" s="12"/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1" t="s">
        <v>379</v>
      </c>
      <c r="Y6" s="12"/>
      <c r="Z6" s="12"/>
      <c r="AA6" s="12"/>
      <c r="AB6" s="12"/>
      <c r="AC6" s="11" t="s">
        <v>17</v>
      </c>
      <c r="AD6" s="12"/>
      <c r="AE6" s="13"/>
      <c r="AF6" s="12" t="s">
        <v>376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1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3"/>
    </row>
    <row r="7" spans="1:72" ht="15" customHeight="1">
      <c r="A7" s="4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2"/>
      <c r="Z7" s="12"/>
      <c r="AA7" s="12"/>
      <c r="AB7" s="12"/>
      <c r="AC7" s="11"/>
      <c r="AD7" s="12"/>
      <c r="AE7" s="13"/>
      <c r="AF7" s="12" t="s">
        <v>377</v>
      </c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1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3"/>
    </row>
    <row r="8" spans="1:72" ht="15" customHeight="1">
      <c r="A8" s="4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2"/>
      <c r="Z8" s="12"/>
      <c r="AA8" s="12"/>
      <c r="AB8" s="12"/>
      <c r="AC8" s="11"/>
      <c r="AD8" s="12"/>
      <c r="AE8" s="13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1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3"/>
    </row>
    <row r="9" spans="1:72" ht="15" customHeight="1">
      <c r="A9" s="4"/>
      <c r="B9" s="125">
        <v>4</v>
      </c>
      <c r="C9" s="125"/>
      <c r="D9" s="11"/>
      <c r="E9" s="12"/>
      <c r="F9" s="12"/>
      <c r="G9" s="12"/>
      <c r="H9" s="12"/>
      <c r="I9" s="12"/>
      <c r="J9" s="12"/>
      <c r="K9" s="12"/>
      <c r="L9" s="12"/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2"/>
      <c r="Z9" s="12"/>
      <c r="AA9" s="12"/>
      <c r="AB9" s="12"/>
      <c r="AC9" s="11"/>
      <c r="AD9" s="12"/>
      <c r="AE9" s="13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1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3"/>
    </row>
    <row r="10" spans="1:72" ht="15" customHeight="1">
      <c r="A10" s="4"/>
      <c r="B10" s="125">
        <v>5</v>
      </c>
      <c r="C10" s="125"/>
      <c r="D10" s="11"/>
      <c r="E10" s="12"/>
      <c r="F10" s="12"/>
      <c r="G10" s="12"/>
      <c r="H10" s="12"/>
      <c r="I10" s="12"/>
      <c r="J10" s="12"/>
      <c r="K10" s="12"/>
      <c r="L10" s="12"/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2"/>
      <c r="Z10" s="12"/>
      <c r="AA10" s="12"/>
      <c r="AB10" s="12"/>
      <c r="AC10" s="11"/>
      <c r="AD10" s="12"/>
      <c r="AE10" s="13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1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3"/>
    </row>
    <row r="11" spans="1:72" s="5" customFormat="1" ht="15" customHeight="1">
      <c r="A11" s="4"/>
      <c r="B11" s="125">
        <v>6</v>
      </c>
      <c r="C11" s="125"/>
      <c r="D11" s="11"/>
      <c r="E11" s="12"/>
      <c r="F11" s="12"/>
      <c r="G11" s="12"/>
      <c r="H11" s="12"/>
      <c r="I11" s="12"/>
      <c r="J11" s="12"/>
      <c r="K11" s="12"/>
      <c r="L11" s="12"/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2"/>
      <c r="Z11" s="12"/>
      <c r="AA11" s="12"/>
      <c r="AB11" s="12"/>
      <c r="AC11" s="11"/>
      <c r="AD11" s="12"/>
      <c r="AE11" s="13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1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3"/>
      <c r="BS11" s="1"/>
      <c r="BT11" s="1"/>
    </row>
    <row r="12" spans="1:72" ht="15" customHeight="1">
      <c r="B12" s="125">
        <v>7</v>
      </c>
      <c r="C12" s="125"/>
      <c r="D12" s="11"/>
      <c r="E12" s="12"/>
      <c r="F12" s="12"/>
      <c r="G12" s="12"/>
      <c r="H12" s="12"/>
      <c r="I12" s="12"/>
      <c r="J12" s="12"/>
      <c r="K12" s="12"/>
      <c r="L12" s="12"/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2"/>
      <c r="Z12" s="12"/>
      <c r="AA12" s="12"/>
      <c r="AB12" s="12"/>
      <c r="AC12" s="11"/>
      <c r="AD12" s="12"/>
      <c r="AE12" s="13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1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3"/>
    </row>
    <row r="13" spans="1:72" ht="15" customHeight="1">
      <c r="B13" s="125">
        <v>8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2"/>
      <c r="Z13" s="12"/>
      <c r="AA13" s="12"/>
      <c r="AB13" s="12"/>
      <c r="AC13" s="11"/>
      <c r="AD13" s="12"/>
      <c r="AE13" s="13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1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3"/>
    </row>
    <row r="14" spans="1:72" ht="15" customHeight="1">
      <c r="B14" s="125">
        <v>9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2"/>
      <c r="Z14" s="12"/>
      <c r="AA14" s="12"/>
      <c r="AB14" s="12"/>
      <c r="AC14" s="11"/>
      <c r="AD14" s="12"/>
      <c r="AE14" s="13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1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3"/>
    </row>
    <row r="16" spans="1:72" s="5" customFormat="1" ht="15" customHeight="1">
      <c r="A16" s="3" t="s">
        <v>326</v>
      </c>
      <c r="B16" s="4"/>
      <c r="C16" s="4"/>
      <c r="D16" s="4"/>
      <c r="E16" s="4"/>
      <c r="F16" s="4"/>
      <c r="G16" s="4"/>
    </row>
    <row r="17" spans="1:75" ht="15" customHeight="1">
      <c r="A17" s="4"/>
    </row>
    <row r="18" spans="1:75" ht="15" customHeight="1">
      <c r="A18" s="4"/>
      <c r="B18" s="137" t="s">
        <v>70</v>
      </c>
      <c r="C18" s="137"/>
      <c r="D18" s="137"/>
      <c r="E18" s="137"/>
      <c r="F18" s="137"/>
      <c r="G18" s="137"/>
      <c r="H18" s="137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</row>
    <row r="19" spans="1:75" ht="15" customHeight="1">
      <c r="A19" s="4"/>
      <c r="B19" s="136" t="s">
        <v>0</v>
      </c>
      <c r="C19" s="136"/>
      <c r="D19" s="136" t="s">
        <v>44</v>
      </c>
      <c r="E19" s="136"/>
      <c r="F19" s="136"/>
      <c r="G19" s="136"/>
      <c r="H19" s="136"/>
      <c r="I19" s="136"/>
      <c r="J19" s="136"/>
      <c r="K19" s="136"/>
      <c r="L19" s="136"/>
      <c r="M19" s="136"/>
      <c r="N19" s="136" t="s">
        <v>187</v>
      </c>
      <c r="O19" s="136"/>
      <c r="P19" s="136"/>
      <c r="Q19" s="136"/>
      <c r="R19" s="136"/>
      <c r="S19" s="136"/>
      <c r="T19" s="136"/>
      <c r="U19" s="136"/>
      <c r="V19" s="136"/>
      <c r="W19" s="136"/>
      <c r="X19" s="131" t="s">
        <v>71</v>
      </c>
      <c r="Y19" s="132"/>
      <c r="Z19" s="132"/>
      <c r="AA19" s="132"/>
      <c r="AB19" s="132"/>
      <c r="AC19" s="132"/>
      <c r="AD19" s="133"/>
      <c r="AE19" s="131" t="s">
        <v>72</v>
      </c>
      <c r="AF19" s="132"/>
      <c r="AG19" s="132"/>
      <c r="AH19" s="132"/>
      <c r="AI19" s="132"/>
      <c r="AJ19" s="132"/>
      <c r="AK19" s="133"/>
      <c r="AL19" s="131" t="s">
        <v>73</v>
      </c>
      <c r="AM19" s="132"/>
      <c r="AN19" s="132"/>
      <c r="AO19" s="132"/>
      <c r="AP19" s="132"/>
      <c r="AQ19" s="132"/>
      <c r="AR19" s="133"/>
      <c r="AS19" s="131" t="s">
        <v>74</v>
      </c>
      <c r="AT19" s="132"/>
      <c r="AU19" s="132"/>
      <c r="AV19" s="132"/>
      <c r="AW19" s="132"/>
      <c r="AX19" s="132"/>
      <c r="AY19" s="133"/>
      <c r="AZ19" s="131" t="s">
        <v>194</v>
      </c>
      <c r="BA19" s="132"/>
      <c r="BB19" s="132"/>
      <c r="BC19" s="132"/>
      <c r="BD19" s="132"/>
      <c r="BE19" s="132"/>
      <c r="BF19" s="132"/>
      <c r="BG19" s="132"/>
      <c r="BH19" s="132"/>
      <c r="BI19" s="133"/>
    </row>
    <row r="20" spans="1:75" ht="15" customHeight="1">
      <c r="A20" s="4"/>
      <c r="B20" s="125">
        <v>1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2"/>
      <c r="Z20" s="12"/>
      <c r="AA20" s="12"/>
      <c r="AB20" s="12"/>
      <c r="AC20" s="12"/>
      <c r="AD20" s="13"/>
      <c r="AE20" s="11"/>
      <c r="AF20" s="12"/>
      <c r="AG20" s="12"/>
      <c r="AH20" s="12"/>
      <c r="AI20" s="12"/>
      <c r="AJ20" s="12"/>
      <c r="AK20" s="13"/>
      <c r="AL20" s="11"/>
      <c r="AM20" s="12"/>
      <c r="AN20" s="12"/>
      <c r="AO20" s="12"/>
      <c r="AP20" s="12"/>
      <c r="AQ20" s="12"/>
      <c r="AR20" s="13"/>
      <c r="AS20" s="11"/>
      <c r="AT20" s="12"/>
      <c r="AU20" s="12"/>
      <c r="AV20" s="12"/>
      <c r="AW20" s="12"/>
      <c r="AX20" s="12"/>
      <c r="AY20" s="13"/>
      <c r="AZ20" s="11"/>
      <c r="BA20" s="12"/>
      <c r="BB20" s="12"/>
      <c r="BC20" s="12"/>
      <c r="BD20" s="12"/>
      <c r="BE20" s="12"/>
      <c r="BF20" s="12"/>
      <c r="BG20" s="12"/>
      <c r="BH20" s="12"/>
      <c r="BI20" s="13"/>
    </row>
    <row r="21" spans="1:75" ht="15" customHeight="1">
      <c r="A21" s="4"/>
      <c r="B21" s="125">
        <v>2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2"/>
      <c r="Z21" s="12"/>
      <c r="AA21" s="12"/>
      <c r="AB21" s="12"/>
      <c r="AC21" s="12"/>
      <c r="AD21" s="13"/>
      <c r="AE21" s="11"/>
      <c r="AF21" s="12"/>
      <c r="AG21" s="12"/>
      <c r="AH21" s="12"/>
      <c r="AI21" s="12"/>
      <c r="AJ21" s="12"/>
      <c r="AK21" s="13"/>
      <c r="AL21" s="11"/>
      <c r="AM21" s="12"/>
      <c r="AN21" s="12"/>
      <c r="AO21" s="12"/>
      <c r="AP21" s="12"/>
      <c r="AQ21" s="12"/>
      <c r="AR21" s="13"/>
      <c r="AS21" s="11"/>
      <c r="AT21" s="12"/>
      <c r="AU21" s="12"/>
      <c r="AV21" s="12"/>
      <c r="AW21" s="12"/>
      <c r="AX21" s="12"/>
      <c r="AY21" s="13"/>
      <c r="AZ21" s="11"/>
      <c r="BA21" s="12"/>
      <c r="BB21" s="12"/>
      <c r="BC21" s="12"/>
      <c r="BD21" s="12"/>
      <c r="BE21" s="12"/>
      <c r="BF21" s="12"/>
      <c r="BG21" s="12"/>
      <c r="BH21" s="12"/>
      <c r="BI21" s="13"/>
    </row>
    <row r="22" spans="1:75" ht="15" customHeight="1">
      <c r="A22" s="4"/>
      <c r="B22" s="125">
        <v>3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2"/>
      <c r="Z22" s="12"/>
      <c r="AA22" s="12"/>
      <c r="AB22" s="12"/>
      <c r="AC22" s="12"/>
      <c r="AD22" s="13"/>
      <c r="AE22" s="11"/>
      <c r="AF22" s="12"/>
      <c r="AG22" s="12"/>
      <c r="AH22" s="12"/>
      <c r="AI22" s="12"/>
      <c r="AJ22" s="12"/>
      <c r="AK22" s="13"/>
      <c r="AL22" s="11"/>
      <c r="AM22" s="12"/>
      <c r="AN22" s="12"/>
      <c r="AO22" s="12"/>
      <c r="AP22" s="12"/>
      <c r="AQ22" s="12"/>
      <c r="AR22" s="13"/>
      <c r="AS22" s="11"/>
      <c r="AT22" s="12"/>
      <c r="AU22" s="12"/>
      <c r="AV22" s="12"/>
      <c r="AW22" s="12"/>
      <c r="AX22" s="12"/>
      <c r="AY22" s="13"/>
      <c r="AZ22" s="11"/>
      <c r="BA22" s="12"/>
      <c r="BB22" s="12"/>
      <c r="BC22" s="12"/>
      <c r="BD22" s="12"/>
      <c r="BE22" s="12"/>
      <c r="BF22" s="12"/>
      <c r="BG22" s="12"/>
      <c r="BH22" s="12"/>
      <c r="BI22" s="13"/>
    </row>
    <row r="23" spans="1:75" ht="15" customHeight="1">
      <c r="A23" s="4"/>
      <c r="B23" s="125">
        <v>4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2"/>
      <c r="Z23" s="12"/>
      <c r="AA23" s="12"/>
      <c r="AB23" s="12"/>
      <c r="AC23" s="12"/>
      <c r="AD23" s="13"/>
      <c r="AE23" s="11"/>
      <c r="AF23" s="12"/>
      <c r="AG23" s="12"/>
      <c r="AH23" s="12"/>
      <c r="AI23" s="12"/>
      <c r="AJ23" s="12"/>
      <c r="AK23" s="13"/>
      <c r="AL23" s="11"/>
      <c r="AM23" s="12"/>
      <c r="AN23" s="12"/>
      <c r="AO23" s="12"/>
      <c r="AP23" s="12"/>
      <c r="AQ23" s="12"/>
      <c r="AR23" s="13"/>
      <c r="AS23" s="11"/>
      <c r="AT23" s="12"/>
      <c r="AU23" s="12"/>
      <c r="AV23" s="12"/>
      <c r="AW23" s="12"/>
      <c r="AX23" s="12"/>
      <c r="AY23" s="13"/>
      <c r="AZ23" s="11"/>
      <c r="BA23" s="12"/>
      <c r="BB23" s="12"/>
      <c r="BC23" s="12"/>
      <c r="BD23" s="12"/>
      <c r="BE23" s="12"/>
      <c r="BF23" s="12"/>
      <c r="BG23" s="12"/>
      <c r="BH23" s="12"/>
      <c r="BI23" s="13"/>
    </row>
    <row r="24" spans="1:75" ht="15" customHeight="1">
      <c r="A24" s="4"/>
      <c r="B24" s="125">
        <v>5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2"/>
      <c r="Z24" s="12"/>
      <c r="AA24" s="12"/>
      <c r="AB24" s="12"/>
      <c r="AC24" s="12"/>
      <c r="AD24" s="13"/>
      <c r="AE24" s="11"/>
      <c r="AF24" s="12"/>
      <c r="AG24" s="12"/>
      <c r="AH24" s="12"/>
      <c r="AI24" s="12"/>
      <c r="AJ24" s="12"/>
      <c r="AK24" s="13"/>
      <c r="AL24" s="11"/>
      <c r="AM24" s="12"/>
      <c r="AN24" s="12"/>
      <c r="AO24" s="12"/>
      <c r="AP24" s="12"/>
      <c r="AQ24" s="12"/>
      <c r="AR24" s="13"/>
      <c r="AS24" s="11"/>
      <c r="AT24" s="12"/>
      <c r="AU24" s="12"/>
      <c r="AV24" s="12"/>
      <c r="AW24" s="12"/>
      <c r="AX24" s="12"/>
      <c r="AY24" s="13"/>
      <c r="AZ24" s="11"/>
      <c r="BA24" s="12"/>
      <c r="BB24" s="12"/>
      <c r="BC24" s="12"/>
      <c r="BD24" s="12"/>
      <c r="BE24" s="12"/>
      <c r="BF24" s="12"/>
      <c r="BG24" s="12"/>
      <c r="BH24" s="12"/>
      <c r="BI24" s="13"/>
    </row>
    <row r="25" spans="1:75" s="5" customFormat="1" ht="15" customHeight="1">
      <c r="A25" s="4"/>
      <c r="B25" s="125">
        <v>6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2"/>
      <c r="Z25" s="12"/>
      <c r="AA25" s="12"/>
      <c r="AB25" s="12"/>
      <c r="AC25" s="12"/>
      <c r="AD25" s="13"/>
      <c r="AE25" s="11"/>
      <c r="AF25" s="12"/>
      <c r="AG25" s="12"/>
      <c r="AH25" s="12"/>
      <c r="AI25" s="12"/>
      <c r="AJ25" s="12"/>
      <c r="AK25" s="13"/>
      <c r="AL25" s="11"/>
      <c r="AM25" s="12"/>
      <c r="AN25" s="12"/>
      <c r="AO25" s="12"/>
      <c r="AP25" s="12"/>
      <c r="AQ25" s="12"/>
      <c r="AR25" s="13"/>
      <c r="AS25" s="11"/>
      <c r="AT25" s="12"/>
      <c r="AU25" s="12"/>
      <c r="AV25" s="12"/>
      <c r="AW25" s="12"/>
      <c r="AX25" s="12"/>
      <c r="AY25" s="13"/>
      <c r="AZ25" s="11"/>
      <c r="BA25" s="12"/>
      <c r="BB25" s="12"/>
      <c r="BC25" s="12"/>
      <c r="BD25" s="12"/>
      <c r="BE25" s="12"/>
      <c r="BF25" s="12"/>
      <c r="BG25" s="12"/>
      <c r="BH25" s="12"/>
      <c r="BI25" s="13"/>
      <c r="BV25" s="1"/>
      <c r="BW25" s="1"/>
    </row>
    <row r="26" spans="1:75" ht="15" customHeight="1">
      <c r="B26" s="125">
        <v>7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2"/>
      <c r="Z26" s="12"/>
      <c r="AA26" s="12"/>
      <c r="AB26" s="12"/>
      <c r="AC26" s="12"/>
      <c r="AD26" s="13"/>
      <c r="AE26" s="11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3"/>
      <c r="AS26" s="11"/>
      <c r="AT26" s="12"/>
      <c r="AU26" s="12"/>
      <c r="AV26" s="12"/>
      <c r="AW26" s="12"/>
      <c r="AX26" s="12"/>
      <c r="AY26" s="13"/>
      <c r="AZ26" s="11"/>
      <c r="BA26" s="12"/>
      <c r="BB26" s="12"/>
      <c r="BC26" s="12"/>
      <c r="BD26" s="12"/>
      <c r="BE26" s="12"/>
      <c r="BF26" s="12"/>
      <c r="BG26" s="12"/>
      <c r="BH26" s="12"/>
      <c r="BI26" s="13"/>
    </row>
    <row r="27" spans="1:75" ht="15" customHeight="1">
      <c r="B27" s="125">
        <v>8</v>
      </c>
      <c r="C27" s="125"/>
      <c r="D27" s="11"/>
      <c r="E27" s="12"/>
      <c r="F27" s="12"/>
      <c r="G27" s="12"/>
      <c r="H27" s="12"/>
      <c r="I27" s="12"/>
      <c r="J27" s="12"/>
      <c r="K27" s="12"/>
      <c r="L27" s="12"/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2"/>
      <c r="Z27" s="12"/>
      <c r="AA27" s="12"/>
      <c r="AB27" s="12"/>
      <c r="AC27" s="12"/>
      <c r="AD27" s="13"/>
      <c r="AE27" s="11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3"/>
      <c r="AS27" s="11"/>
      <c r="AT27" s="12"/>
      <c r="AU27" s="12"/>
      <c r="AV27" s="12"/>
      <c r="AW27" s="12"/>
      <c r="AX27" s="12"/>
      <c r="AY27" s="13"/>
      <c r="AZ27" s="11"/>
      <c r="BA27" s="12"/>
      <c r="BB27" s="12"/>
      <c r="BC27" s="12"/>
      <c r="BD27" s="12"/>
      <c r="BE27" s="12"/>
      <c r="BF27" s="12"/>
      <c r="BG27" s="12"/>
      <c r="BH27" s="12"/>
      <c r="BI27" s="13"/>
    </row>
    <row r="28" spans="1:75" ht="15" customHeight="1">
      <c r="B28" s="125">
        <v>9</v>
      </c>
      <c r="C28" s="125"/>
      <c r="D28" s="11"/>
      <c r="E28" s="12"/>
      <c r="F28" s="12"/>
      <c r="G28" s="12"/>
      <c r="H28" s="12"/>
      <c r="I28" s="12"/>
      <c r="J28" s="12"/>
      <c r="K28" s="12"/>
      <c r="L28" s="12"/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2"/>
      <c r="Z28" s="12"/>
      <c r="AA28" s="12"/>
      <c r="AB28" s="12"/>
      <c r="AC28" s="12"/>
      <c r="AD28" s="13"/>
      <c r="AE28" s="11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3"/>
      <c r="AS28" s="11"/>
      <c r="AT28" s="12"/>
      <c r="AU28" s="12"/>
      <c r="AV28" s="12"/>
      <c r="AW28" s="12"/>
      <c r="AX28" s="12"/>
      <c r="AY28" s="13"/>
      <c r="AZ28" s="11"/>
      <c r="BA28" s="12"/>
      <c r="BB28" s="12"/>
      <c r="BC28" s="12"/>
      <c r="BD28" s="12"/>
      <c r="BE28" s="12"/>
      <c r="BF28" s="12"/>
      <c r="BG28" s="12"/>
      <c r="BH28" s="12"/>
      <c r="BI28" s="13"/>
    </row>
    <row r="30" spans="1:75" ht="15" customHeight="1">
      <c r="B30" s="137" t="s">
        <v>70</v>
      </c>
      <c r="C30" s="137"/>
      <c r="D30" s="137"/>
      <c r="E30" s="137"/>
      <c r="F30" s="137"/>
      <c r="G30" s="137"/>
      <c r="H30" s="137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</row>
    <row r="31" spans="1:75" ht="15" customHeight="1">
      <c r="B31" s="136" t="s">
        <v>0</v>
      </c>
      <c r="C31" s="136"/>
      <c r="D31" s="136" t="s">
        <v>44</v>
      </c>
      <c r="E31" s="136"/>
      <c r="F31" s="136"/>
      <c r="G31" s="136"/>
      <c r="H31" s="136"/>
      <c r="I31" s="136"/>
      <c r="J31" s="136"/>
      <c r="K31" s="136"/>
      <c r="L31" s="136"/>
      <c r="M31" s="136"/>
      <c r="N31" s="136" t="s">
        <v>188</v>
      </c>
      <c r="O31" s="136"/>
      <c r="P31" s="136"/>
      <c r="Q31" s="136"/>
      <c r="R31" s="136"/>
      <c r="S31" s="136"/>
      <c r="T31" s="136"/>
      <c r="U31" s="136"/>
      <c r="V31" s="136"/>
      <c r="W31" s="136"/>
      <c r="X31" s="131" t="s">
        <v>71</v>
      </c>
      <c r="Y31" s="132"/>
      <c r="Z31" s="132"/>
      <c r="AA31" s="132"/>
      <c r="AB31" s="132"/>
      <c r="AC31" s="132"/>
      <c r="AD31" s="133"/>
      <c r="AE31" s="131" t="s">
        <v>72</v>
      </c>
      <c r="AF31" s="132"/>
      <c r="AG31" s="132"/>
      <c r="AH31" s="132"/>
      <c r="AI31" s="132"/>
      <c r="AJ31" s="132"/>
      <c r="AK31" s="133"/>
      <c r="AL31" s="131" t="s">
        <v>73</v>
      </c>
      <c r="AM31" s="132"/>
      <c r="AN31" s="132"/>
      <c r="AO31" s="132"/>
      <c r="AP31" s="132"/>
      <c r="AQ31" s="132"/>
      <c r="AR31" s="133"/>
      <c r="AS31" s="46" t="s">
        <v>74</v>
      </c>
      <c r="AT31" s="47"/>
      <c r="AU31" s="47"/>
      <c r="AV31" s="47"/>
      <c r="AW31" s="47"/>
      <c r="AX31" s="47"/>
      <c r="AY31" s="48"/>
      <c r="AZ31" s="131" t="s">
        <v>194</v>
      </c>
      <c r="BA31" s="132"/>
      <c r="BB31" s="132"/>
      <c r="BC31" s="132"/>
      <c r="BD31" s="132"/>
      <c r="BE31" s="132"/>
      <c r="BF31" s="132"/>
      <c r="BG31" s="132"/>
      <c r="BH31" s="132"/>
      <c r="BI31" s="133"/>
    </row>
    <row r="32" spans="1:75" ht="15" customHeight="1">
      <c r="B32" s="125">
        <v>1</v>
      </c>
      <c r="C32" s="125"/>
      <c r="D32" s="11"/>
      <c r="E32" s="12"/>
      <c r="F32" s="12"/>
      <c r="G32" s="12"/>
      <c r="H32" s="12"/>
      <c r="I32" s="12"/>
      <c r="J32" s="12"/>
      <c r="K32" s="12"/>
      <c r="L32" s="12"/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2"/>
      <c r="Z32" s="12"/>
      <c r="AA32" s="12"/>
      <c r="AB32" s="12"/>
      <c r="AC32" s="12"/>
      <c r="AD32" s="13"/>
      <c r="AE32" s="11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3"/>
      <c r="AS32" s="11"/>
      <c r="AT32" s="12"/>
      <c r="AU32" s="12"/>
      <c r="AV32" s="12"/>
      <c r="AW32" s="12"/>
      <c r="AX32" s="12"/>
      <c r="AY32" s="13"/>
      <c r="AZ32" s="11"/>
      <c r="BA32" s="12"/>
      <c r="BB32" s="12"/>
      <c r="BC32" s="12"/>
      <c r="BD32" s="12"/>
      <c r="BE32" s="12"/>
      <c r="BF32" s="12"/>
      <c r="BG32" s="12"/>
      <c r="BH32" s="12"/>
      <c r="BI32" s="13"/>
    </row>
    <row r="33" spans="1:62" ht="15" customHeight="1">
      <c r="B33" s="125">
        <v>2</v>
      </c>
      <c r="C33" s="125"/>
      <c r="D33" s="11"/>
      <c r="E33" s="12"/>
      <c r="F33" s="12"/>
      <c r="G33" s="12"/>
      <c r="H33" s="12"/>
      <c r="I33" s="12"/>
      <c r="J33" s="12"/>
      <c r="K33" s="12"/>
      <c r="L33" s="12"/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2"/>
      <c r="Z33" s="12"/>
      <c r="AA33" s="12"/>
      <c r="AB33" s="12"/>
      <c r="AC33" s="12"/>
      <c r="AD33" s="13"/>
      <c r="AE33" s="11"/>
      <c r="AF33" s="12"/>
      <c r="AG33" s="12"/>
      <c r="AH33" s="12"/>
      <c r="AI33" s="12"/>
      <c r="AJ33" s="12"/>
      <c r="AK33" s="13"/>
      <c r="AL33" s="11"/>
      <c r="AM33" s="12"/>
      <c r="AN33" s="12"/>
      <c r="AO33" s="12"/>
      <c r="AP33" s="12"/>
      <c r="AQ33" s="12"/>
      <c r="AR33" s="13"/>
      <c r="AS33" s="11"/>
      <c r="AT33" s="12"/>
      <c r="AU33" s="12"/>
      <c r="AV33" s="12"/>
      <c r="AW33" s="12"/>
      <c r="AX33" s="12"/>
      <c r="AY33" s="13"/>
      <c r="AZ33" s="11"/>
      <c r="BA33" s="12"/>
      <c r="BB33" s="12"/>
      <c r="BC33" s="12"/>
      <c r="BD33" s="12"/>
      <c r="BE33" s="12"/>
      <c r="BF33" s="12"/>
      <c r="BG33" s="12"/>
      <c r="BH33" s="12"/>
      <c r="BI33" s="13"/>
    </row>
    <row r="34" spans="1:62" ht="15" customHeight="1">
      <c r="B34" s="125">
        <v>3</v>
      </c>
      <c r="C34" s="125"/>
      <c r="D34" s="11"/>
      <c r="E34" s="12"/>
      <c r="F34" s="12"/>
      <c r="G34" s="12"/>
      <c r="H34" s="12"/>
      <c r="I34" s="12"/>
      <c r="J34" s="12"/>
      <c r="K34" s="12"/>
      <c r="L34" s="12"/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2"/>
      <c r="Z34" s="12"/>
      <c r="AA34" s="12"/>
      <c r="AB34" s="12"/>
      <c r="AC34" s="12"/>
      <c r="AD34" s="13"/>
      <c r="AE34" s="11"/>
      <c r="AF34" s="12"/>
      <c r="AG34" s="12"/>
      <c r="AH34" s="12"/>
      <c r="AI34" s="12"/>
      <c r="AJ34" s="12"/>
      <c r="AK34" s="13"/>
      <c r="AL34" s="11"/>
      <c r="AM34" s="12"/>
      <c r="AN34" s="12"/>
      <c r="AO34" s="12"/>
      <c r="AP34" s="12"/>
      <c r="AQ34" s="12"/>
      <c r="AR34" s="13"/>
      <c r="AS34" s="11"/>
      <c r="AT34" s="12"/>
      <c r="AU34" s="12"/>
      <c r="AV34" s="12"/>
      <c r="AW34" s="12"/>
      <c r="AX34" s="12"/>
      <c r="AY34" s="13"/>
      <c r="AZ34" s="11"/>
      <c r="BA34" s="12"/>
      <c r="BB34" s="12"/>
      <c r="BC34" s="12"/>
      <c r="BD34" s="12"/>
      <c r="BE34" s="12"/>
      <c r="BF34" s="12"/>
      <c r="BG34" s="12"/>
      <c r="BH34" s="12"/>
      <c r="BI34" s="13"/>
    </row>
    <row r="35" spans="1:62" ht="15" customHeight="1">
      <c r="B35" s="125">
        <v>4</v>
      </c>
      <c r="C35" s="125"/>
      <c r="D35" s="11"/>
      <c r="E35" s="12"/>
      <c r="F35" s="12"/>
      <c r="G35" s="12"/>
      <c r="H35" s="12"/>
      <c r="I35" s="12"/>
      <c r="J35" s="12"/>
      <c r="K35" s="12"/>
      <c r="L35" s="12"/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2"/>
      <c r="Z35" s="12"/>
      <c r="AA35" s="12"/>
      <c r="AB35" s="12"/>
      <c r="AC35" s="12"/>
      <c r="AD35" s="13"/>
      <c r="AE35" s="11"/>
      <c r="AF35" s="12"/>
      <c r="AG35" s="12"/>
      <c r="AH35" s="12"/>
      <c r="AI35" s="12"/>
      <c r="AJ35" s="12"/>
      <c r="AK35" s="13"/>
      <c r="AL35" s="11"/>
      <c r="AM35" s="12"/>
      <c r="AN35" s="12"/>
      <c r="AO35" s="12"/>
      <c r="AP35" s="12"/>
      <c r="AQ35" s="12"/>
      <c r="AR35" s="13"/>
      <c r="AS35" s="11"/>
      <c r="AT35" s="12"/>
      <c r="AU35" s="12"/>
      <c r="AV35" s="12"/>
      <c r="AW35" s="12"/>
      <c r="AX35" s="12"/>
      <c r="AY35" s="13"/>
      <c r="AZ35" s="11"/>
      <c r="BA35" s="12"/>
      <c r="BB35" s="12"/>
      <c r="BC35" s="12"/>
      <c r="BD35" s="12"/>
      <c r="BE35" s="12"/>
      <c r="BF35" s="12"/>
      <c r="BG35" s="12"/>
      <c r="BH35" s="12"/>
      <c r="BI35" s="13"/>
    </row>
    <row r="36" spans="1:62" ht="15" customHeight="1">
      <c r="B36" s="125">
        <v>5</v>
      </c>
      <c r="C36" s="125"/>
      <c r="D36" s="11"/>
      <c r="E36" s="12"/>
      <c r="F36" s="12"/>
      <c r="G36" s="12"/>
      <c r="H36" s="12"/>
      <c r="I36" s="12"/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2"/>
      <c r="Z36" s="12"/>
      <c r="AA36" s="12"/>
      <c r="AB36" s="12"/>
      <c r="AC36" s="12"/>
      <c r="AD36" s="13"/>
      <c r="AE36" s="11"/>
      <c r="AF36" s="12"/>
      <c r="AG36" s="12"/>
      <c r="AH36" s="12"/>
      <c r="AI36" s="12"/>
      <c r="AJ36" s="12"/>
      <c r="AK36" s="13"/>
      <c r="AL36" s="11"/>
      <c r="AM36" s="12"/>
      <c r="AN36" s="12"/>
      <c r="AO36" s="12"/>
      <c r="AP36" s="12"/>
      <c r="AQ36" s="12"/>
      <c r="AR36" s="13"/>
      <c r="AS36" s="11"/>
      <c r="AT36" s="12"/>
      <c r="AU36" s="12"/>
      <c r="AV36" s="12"/>
      <c r="AW36" s="12"/>
      <c r="AX36" s="12"/>
      <c r="AY36" s="13"/>
      <c r="AZ36" s="11"/>
      <c r="BA36" s="12"/>
      <c r="BB36" s="12"/>
      <c r="BC36" s="12"/>
      <c r="BD36" s="12"/>
      <c r="BE36" s="12"/>
      <c r="BF36" s="12"/>
      <c r="BG36" s="12"/>
      <c r="BH36" s="12"/>
      <c r="BI36" s="13"/>
    </row>
    <row r="37" spans="1:62" ht="15" customHeight="1">
      <c r="B37" s="125">
        <v>6</v>
      </c>
      <c r="C37" s="125"/>
      <c r="D37" s="11"/>
      <c r="E37" s="12"/>
      <c r="F37" s="12"/>
      <c r="G37" s="12"/>
      <c r="H37" s="12"/>
      <c r="I37" s="12"/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2"/>
      <c r="Z37" s="12"/>
      <c r="AA37" s="12"/>
      <c r="AB37" s="12"/>
      <c r="AC37" s="12"/>
      <c r="AD37" s="13"/>
      <c r="AE37" s="11"/>
      <c r="AF37" s="12"/>
      <c r="AG37" s="12"/>
      <c r="AH37" s="12"/>
      <c r="AI37" s="12"/>
      <c r="AJ37" s="12"/>
      <c r="AK37" s="13"/>
      <c r="AL37" s="11"/>
      <c r="AM37" s="12"/>
      <c r="AN37" s="12"/>
      <c r="AO37" s="12"/>
      <c r="AP37" s="12"/>
      <c r="AQ37" s="12"/>
      <c r="AR37" s="13"/>
      <c r="AS37" s="11"/>
      <c r="AT37" s="12"/>
      <c r="AU37" s="12"/>
      <c r="AV37" s="12"/>
      <c r="AW37" s="12"/>
      <c r="AX37" s="12"/>
      <c r="AY37" s="13"/>
      <c r="AZ37" s="11"/>
      <c r="BA37" s="12"/>
      <c r="BB37" s="12"/>
      <c r="BC37" s="12"/>
      <c r="BD37" s="12"/>
      <c r="BE37" s="12"/>
      <c r="BF37" s="12"/>
      <c r="BG37" s="12"/>
      <c r="BH37" s="12"/>
      <c r="BI37" s="13"/>
    </row>
    <row r="38" spans="1:62" ht="15" customHeight="1">
      <c r="B38" s="125">
        <v>7</v>
      </c>
      <c r="C38" s="125"/>
      <c r="D38" s="11"/>
      <c r="E38" s="12"/>
      <c r="F38" s="12"/>
      <c r="G38" s="12"/>
      <c r="H38" s="12"/>
      <c r="I38" s="12"/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2"/>
      <c r="Z38" s="12"/>
      <c r="AA38" s="12"/>
      <c r="AB38" s="12"/>
      <c r="AC38" s="12"/>
      <c r="AD38" s="13"/>
      <c r="AE38" s="11"/>
      <c r="AF38" s="12"/>
      <c r="AG38" s="12"/>
      <c r="AH38" s="12"/>
      <c r="AI38" s="12"/>
      <c r="AJ38" s="12"/>
      <c r="AK38" s="13"/>
      <c r="AL38" s="11"/>
      <c r="AM38" s="12"/>
      <c r="AN38" s="12"/>
      <c r="AO38" s="12"/>
      <c r="AP38" s="12"/>
      <c r="AQ38" s="12"/>
      <c r="AR38" s="13"/>
      <c r="AS38" s="11"/>
      <c r="AT38" s="12"/>
      <c r="AU38" s="12"/>
      <c r="AV38" s="12"/>
      <c r="AW38" s="12"/>
      <c r="AX38" s="12"/>
      <c r="AY38" s="13"/>
      <c r="AZ38" s="11"/>
      <c r="BA38" s="12"/>
      <c r="BB38" s="12"/>
      <c r="BC38" s="12"/>
      <c r="BD38" s="12"/>
      <c r="BE38" s="12"/>
      <c r="BF38" s="12"/>
      <c r="BG38" s="12"/>
      <c r="BH38" s="12"/>
      <c r="BI38" s="13"/>
    </row>
    <row r="39" spans="1:62" ht="15" customHeight="1">
      <c r="B39" s="125">
        <v>8</v>
      </c>
      <c r="C39" s="125"/>
      <c r="D39" s="11"/>
      <c r="E39" s="12"/>
      <c r="F39" s="12"/>
      <c r="G39" s="12"/>
      <c r="H39" s="12"/>
      <c r="I39" s="12"/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2"/>
      <c r="Z39" s="12"/>
      <c r="AA39" s="12"/>
      <c r="AB39" s="12"/>
      <c r="AC39" s="12"/>
      <c r="AD39" s="13"/>
      <c r="AE39" s="11"/>
      <c r="AF39" s="12"/>
      <c r="AG39" s="12"/>
      <c r="AH39" s="12"/>
      <c r="AI39" s="12"/>
      <c r="AJ39" s="12"/>
      <c r="AK39" s="13"/>
      <c r="AL39" s="11"/>
      <c r="AM39" s="12"/>
      <c r="AN39" s="12"/>
      <c r="AO39" s="12"/>
      <c r="AP39" s="12"/>
      <c r="AQ39" s="12"/>
      <c r="AR39" s="13"/>
      <c r="AS39" s="11"/>
      <c r="AT39" s="12"/>
      <c r="AU39" s="12"/>
      <c r="AV39" s="12"/>
      <c r="AW39" s="12"/>
      <c r="AX39" s="12"/>
      <c r="AY39" s="13"/>
      <c r="AZ39" s="11"/>
      <c r="BA39" s="12"/>
      <c r="BB39" s="12"/>
      <c r="BC39" s="12"/>
      <c r="BD39" s="12"/>
      <c r="BE39" s="12"/>
      <c r="BF39" s="12"/>
      <c r="BG39" s="12"/>
      <c r="BH39" s="12"/>
      <c r="BI39" s="13"/>
    </row>
    <row r="40" spans="1:62" ht="15" customHeight="1">
      <c r="B40" s="125">
        <v>9</v>
      </c>
      <c r="C40" s="125"/>
      <c r="D40" s="11"/>
      <c r="E40" s="12"/>
      <c r="F40" s="12"/>
      <c r="G40" s="12"/>
      <c r="H40" s="12"/>
      <c r="I40" s="12"/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2"/>
      <c r="Z40" s="12"/>
      <c r="AA40" s="12"/>
      <c r="AB40" s="12"/>
      <c r="AC40" s="12"/>
      <c r="AD40" s="13"/>
      <c r="AE40" s="11"/>
      <c r="AF40" s="12"/>
      <c r="AG40" s="12"/>
      <c r="AH40" s="12"/>
      <c r="AI40" s="12"/>
      <c r="AJ40" s="12"/>
      <c r="AK40" s="13"/>
      <c r="AL40" s="11"/>
      <c r="AM40" s="12"/>
      <c r="AN40" s="12"/>
      <c r="AO40" s="12"/>
      <c r="AP40" s="12"/>
      <c r="AQ40" s="12"/>
      <c r="AR40" s="13"/>
      <c r="AS40" s="11"/>
      <c r="AT40" s="12"/>
      <c r="AU40" s="12"/>
      <c r="AV40" s="12"/>
      <c r="AW40" s="12"/>
      <c r="AX40" s="12"/>
      <c r="AY40" s="13"/>
      <c r="AZ40" s="11"/>
      <c r="BA40" s="12"/>
      <c r="BB40" s="12"/>
      <c r="BC40" s="12"/>
      <c r="BD40" s="12"/>
      <c r="BE40" s="12"/>
      <c r="BF40" s="12"/>
      <c r="BG40" s="12"/>
      <c r="BH40" s="12"/>
      <c r="BI40" s="13"/>
    </row>
    <row r="43" spans="1:62" ht="15" customHeight="1">
      <c r="A43" s="3" t="s">
        <v>190</v>
      </c>
    </row>
    <row r="44" spans="1:62" ht="15" customHeight="1">
      <c r="A44" s="7" t="s">
        <v>14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</row>
    <row r="45" spans="1:62" ht="15" customHeight="1">
      <c r="B45" s="43" t="s">
        <v>75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5"/>
      <c r="X45" s="126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8"/>
    </row>
    <row r="46" spans="1:62" ht="15" customHeight="1">
      <c r="B46" s="129" t="s">
        <v>76</v>
      </c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126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8"/>
    </row>
    <row r="47" spans="1:62" ht="15" customHeight="1">
      <c r="B47" s="43" t="s">
        <v>191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6" t="s">
        <v>192</v>
      </c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8"/>
    </row>
    <row r="48" spans="1:62" ht="15" customHeight="1">
      <c r="B48" s="134" t="s">
        <v>0</v>
      </c>
      <c r="C48" s="134"/>
      <c r="D48" s="134" t="s">
        <v>44</v>
      </c>
      <c r="E48" s="134"/>
      <c r="F48" s="134"/>
      <c r="G48" s="134"/>
      <c r="H48" s="134"/>
      <c r="I48" s="134"/>
      <c r="J48" s="134"/>
      <c r="K48" s="134"/>
      <c r="L48" s="134"/>
      <c r="M48" s="134"/>
      <c r="N48" s="134" t="s">
        <v>188</v>
      </c>
      <c r="O48" s="134"/>
      <c r="P48" s="134"/>
      <c r="Q48" s="134"/>
      <c r="R48" s="134"/>
      <c r="S48" s="134"/>
      <c r="T48" s="134"/>
      <c r="U48" s="134"/>
      <c r="V48" s="134"/>
      <c r="W48" s="134"/>
      <c r="X48" s="129" t="s">
        <v>77</v>
      </c>
      <c r="Y48" s="130"/>
      <c r="Z48" s="130"/>
      <c r="AA48" s="130"/>
      <c r="AB48" s="130"/>
      <c r="AC48" s="130"/>
      <c r="AD48" s="135"/>
      <c r="AE48" s="131" t="s">
        <v>78</v>
      </c>
      <c r="AF48" s="132"/>
      <c r="AG48" s="132"/>
      <c r="AH48" s="132"/>
      <c r="AI48" s="132"/>
      <c r="AJ48" s="132"/>
      <c r="AK48" s="133"/>
      <c r="AL48" s="131" t="s">
        <v>74</v>
      </c>
      <c r="AM48" s="132"/>
      <c r="AN48" s="132"/>
      <c r="AO48" s="132"/>
      <c r="AP48" s="132"/>
      <c r="AQ48" s="132"/>
      <c r="AR48" s="133"/>
      <c r="AS48" s="46" t="s">
        <v>193</v>
      </c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8"/>
    </row>
    <row r="49" spans="1:61" ht="15" customHeight="1">
      <c r="B49" s="125">
        <v>1</v>
      </c>
      <c r="C49" s="125"/>
      <c r="D49" s="11"/>
      <c r="E49" s="12"/>
      <c r="F49" s="12"/>
      <c r="G49" s="12"/>
      <c r="H49" s="12"/>
      <c r="I49" s="12"/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2"/>
      <c r="Z49" s="12"/>
      <c r="AA49" s="12"/>
      <c r="AB49" s="12"/>
      <c r="AC49" s="12"/>
      <c r="AD49" s="13"/>
      <c r="AE49" s="11"/>
      <c r="AF49" s="12"/>
      <c r="AG49" s="12"/>
      <c r="AH49" s="12"/>
      <c r="AI49" s="12"/>
      <c r="AJ49" s="12"/>
      <c r="AK49" s="13"/>
      <c r="AL49" s="11"/>
      <c r="AM49" s="12"/>
      <c r="AN49" s="12"/>
      <c r="AO49" s="12"/>
      <c r="AP49" s="12"/>
      <c r="AQ49" s="12"/>
      <c r="AR49" s="13"/>
      <c r="AS49" s="11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3"/>
    </row>
    <row r="50" spans="1:61" ht="15" customHeight="1">
      <c r="B50" s="125">
        <v>2</v>
      </c>
      <c r="C50" s="125"/>
      <c r="D50" s="11"/>
      <c r="E50" s="12"/>
      <c r="F50" s="12"/>
      <c r="G50" s="12"/>
      <c r="H50" s="12"/>
      <c r="I50" s="12"/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2"/>
      <c r="Z50" s="12"/>
      <c r="AA50" s="12"/>
      <c r="AB50" s="12"/>
      <c r="AC50" s="12"/>
      <c r="AD50" s="13"/>
      <c r="AE50" s="11"/>
      <c r="AF50" s="12"/>
      <c r="AG50" s="12"/>
      <c r="AH50" s="12"/>
      <c r="AI50" s="12"/>
      <c r="AJ50" s="12"/>
      <c r="AK50" s="13"/>
      <c r="AL50" s="11"/>
      <c r="AM50" s="12"/>
      <c r="AN50" s="12"/>
      <c r="AO50" s="12"/>
      <c r="AP50" s="12"/>
      <c r="AQ50" s="12"/>
      <c r="AR50" s="13"/>
      <c r="AS50" s="11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3"/>
    </row>
    <row r="51" spans="1:61" ht="15" customHeight="1">
      <c r="B51" s="125">
        <v>3</v>
      </c>
      <c r="C51" s="125"/>
      <c r="D51" s="11"/>
      <c r="E51" s="12"/>
      <c r="F51" s="12"/>
      <c r="G51" s="12"/>
      <c r="H51" s="12"/>
      <c r="I51" s="12"/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2"/>
      <c r="Z51" s="12"/>
      <c r="AA51" s="12"/>
      <c r="AB51" s="12"/>
      <c r="AC51" s="12"/>
      <c r="AD51" s="13"/>
      <c r="AE51" s="11"/>
      <c r="AF51" s="12"/>
      <c r="AG51" s="12"/>
      <c r="AH51" s="12"/>
      <c r="AI51" s="12"/>
      <c r="AJ51" s="12"/>
      <c r="AK51" s="13"/>
      <c r="AL51" s="11"/>
      <c r="AM51" s="12"/>
      <c r="AN51" s="12"/>
      <c r="AO51" s="12"/>
      <c r="AP51" s="12"/>
      <c r="AQ51" s="12"/>
      <c r="AR51" s="13"/>
      <c r="AS51" s="11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3"/>
    </row>
    <row r="52" spans="1:61" ht="15" customHeight="1">
      <c r="B52" s="125">
        <v>4</v>
      </c>
      <c r="C52" s="125"/>
      <c r="D52" s="11"/>
      <c r="E52" s="12"/>
      <c r="F52" s="12"/>
      <c r="G52" s="12"/>
      <c r="H52" s="12"/>
      <c r="I52" s="12"/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2"/>
      <c r="Z52" s="12"/>
      <c r="AA52" s="12"/>
      <c r="AB52" s="12"/>
      <c r="AC52" s="12"/>
      <c r="AD52" s="13"/>
      <c r="AE52" s="11"/>
      <c r="AF52" s="12"/>
      <c r="AG52" s="12"/>
      <c r="AH52" s="12"/>
      <c r="AI52" s="12"/>
      <c r="AJ52" s="12"/>
      <c r="AK52" s="13"/>
      <c r="AL52" s="11"/>
      <c r="AM52" s="12"/>
      <c r="AN52" s="12"/>
      <c r="AO52" s="12"/>
      <c r="AP52" s="12"/>
      <c r="AQ52" s="12"/>
      <c r="AR52" s="13"/>
      <c r="AS52" s="11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3"/>
    </row>
    <row r="53" spans="1:61" ht="15" customHeight="1">
      <c r="B53" s="125">
        <v>5</v>
      </c>
      <c r="C53" s="125"/>
      <c r="D53" s="11"/>
      <c r="E53" s="12"/>
      <c r="F53" s="12"/>
      <c r="G53" s="12"/>
      <c r="H53" s="12"/>
      <c r="I53" s="12"/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2"/>
      <c r="Z53" s="12"/>
      <c r="AA53" s="12"/>
      <c r="AB53" s="12"/>
      <c r="AC53" s="12"/>
      <c r="AD53" s="13"/>
      <c r="AE53" s="11"/>
      <c r="AF53" s="12"/>
      <c r="AG53" s="12"/>
      <c r="AH53" s="12"/>
      <c r="AI53" s="12"/>
      <c r="AJ53" s="12"/>
      <c r="AK53" s="13"/>
      <c r="AL53" s="11"/>
      <c r="AM53" s="12"/>
      <c r="AN53" s="12"/>
      <c r="AO53" s="12"/>
      <c r="AP53" s="12"/>
      <c r="AQ53" s="12"/>
      <c r="AR53" s="13"/>
      <c r="AS53" s="11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3"/>
    </row>
    <row r="54" spans="1:61" ht="15" customHeight="1">
      <c r="B54" s="125">
        <v>6</v>
      </c>
      <c r="C54" s="125"/>
      <c r="D54" s="11"/>
      <c r="E54" s="12"/>
      <c r="F54" s="12"/>
      <c r="G54" s="12"/>
      <c r="H54" s="12"/>
      <c r="I54" s="12"/>
      <c r="J54" s="12"/>
      <c r="K54" s="12"/>
      <c r="L54" s="12"/>
      <c r="M54" s="13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2"/>
      <c r="Z54" s="12"/>
      <c r="AA54" s="12"/>
      <c r="AB54" s="12"/>
      <c r="AC54" s="12"/>
      <c r="AD54" s="13"/>
      <c r="AE54" s="11"/>
      <c r="AF54" s="12"/>
      <c r="AG54" s="12"/>
      <c r="AH54" s="12"/>
      <c r="AI54" s="12"/>
      <c r="AJ54" s="12"/>
      <c r="AK54" s="13"/>
      <c r="AL54" s="11"/>
      <c r="AM54" s="12"/>
      <c r="AN54" s="12"/>
      <c r="AO54" s="12"/>
      <c r="AP54" s="12"/>
      <c r="AQ54" s="12"/>
      <c r="AR54" s="13"/>
      <c r="AS54" s="11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3"/>
    </row>
    <row r="55" spans="1:61" ht="15" customHeight="1">
      <c r="A55" s="4"/>
      <c r="B55" s="125">
        <v>7</v>
      </c>
      <c r="C55" s="125"/>
      <c r="D55" s="11"/>
      <c r="E55" s="12"/>
      <c r="F55" s="12"/>
      <c r="G55" s="12"/>
      <c r="H55" s="12"/>
      <c r="I55" s="12"/>
      <c r="J55" s="12"/>
      <c r="K55" s="12"/>
      <c r="L55" s="12"/>
      <c r="M55" s="13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2"/>
      <c r="Z55" s="12"/>
      <c r="AA55" s="12"/>
      <c r="AB55" s="12"/>
      <c r="AC55" s="12"/>
      <c r="AD55" s="13"/>
      <c r="AE55" s="11"/>
      <c r="AF55" s="12"/>
      <c r="AG55" s="12"/>
      <c r="AH55" s="12"/>
      <c r="AI55" s="12"/>
      <c r="AJ55" s="12"/>
      <c r="AK55" s="13"/>
      <c r="AL55" s="11"/>
      <c r="AM55" s="12"/>
      <c r="AN55" s="12"/>
      <c r="AO55" s="12"/>
      <c r="AP55" s="12"/>
      <c r="AQ55" s="12"/>
      <c r="AR55" s="13"/>
      <c r="AS55" s="11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3"/>
    </row>
    <row r="56" spans="1:61" ht="15" customHeight="1">
      <c r="A56" s="4"/>
      <c r="B56" s="125">
        <v>8</v>
      </c>
      <c r="C56" s="125"/>
      <c r="D56" s="11"/>
      <c r="E56" s="12"/>
      <c r="F56" s="12"/>
      <c r="G56" s="12"/>
      <c r="H56" s="12"/>
      <c r="I56" s="12"/>
      <c r="J56" s="12"/>
      <c r="K56" s="12"/>
      <c r="L56" s="12"/>
      <c r="M56" s="13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2"/>
      <c r="Z56" s="12"/>
      <c r="AA56" s="12"/>
      <c r="AB56" s="12"/>
      <c r="AC56" s="12"/>
      <c r="AD56" s="13"/>
      <c r="AE56" s="11"/>
      <c r="AF56" s="12"/>
      <c r="AG56" s="12"/>
      <c r="AH56" s="12"/>
      <c r="AI56" s="12"/>
      <c r="AJ56" s="12"/>
      <c r="AK56" s="13"/>
      <c r="AL56" s="11"/>
      <c r="AM56" s="12"/>
      <c r="AN56" s="12"/>
      <c r="AO56" s="12"/>
      <c r="AP56" s="12"/>
      <c r="AQ56" s="12"/>
      <c r="AR56" s="13"/>
      <c r="AS56" s="11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3"/>
    </row>
    <row r="57" spans="1:61" ht="15" customHeight="1">
      <c r="A57" s="4"/>
      <c r="B57" s="125">
        <v>9</v>
      </c>
      <c r="C57" s="125"/>
      <c r="D57" s="11"/>
      <c r="E57" s="12"/>
      <c r="F57" s="12"/>
      <c r="G57" s="12"/>
      <c r="H57" s="12"/>
      <c r="I57" s="12"/>
      <c r="J57" s="12"/>
      <c r="K57" s="12"/>
      <c r="L57" s="12"/>
      <c r="M57" s="13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2"/>
      <c r="Z57" s="12"/>
      <c r="AA57" s="12"/>
      <c r="AB57" s="12"/>
      <c r="AC57" s="12"/>
      <c r="AD57" s="13"/>
      <c r="AE57" s="11"/>
      <c r="AF57" s="12"/>
      <c r="AG57" s="12"/>
      <c r="AH57" s="12"/>
      <c r="AI57" s="12"/>
      <c r="AJ57" s="12"/>
      <c r="AK57" s="13"/>
      <c r="AL57" s="11"/>
      <c r="AM57" s="12"/>
      <c r="AN57" s="12"/>
      <c r="AO57" s="12"/>
      <c r="AP57" s="12"/>
      <c r="AQ57" s="12"/>
      <c r="AR57" s="13"/>
      <c r="AS57" s="11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3"/>
    </row>
  </sheetData>
  <mergeCells count="72">
    <mergeCell ref="AZ31:BI31"/>
    <mergeCell ref="B21:C21"/>
    <mergeCell ref="B19:C19"/>
    <mergeCell ref="D19:M19"/>
    <mergeCell ref="B18:H18"/>
    <mergeCell ref="X19:AD19"/>
    <mergeCell ref="I18:AD18"/>
    <mergeCell ref="B20:C20"/>
    <mergeCell ref="N19:W19"/>
    <mergeCell ref="AL19:AR19"/>
    <mergeCell ref="AS19:AY19"/>
    <mergeCell ref="AZ19:BI19"/>
    <mergeCell ref="AE19:AK19"/>
    <mergeCell ref="AE31:AK31"/>
    <mergeCell ref="AL31:AR31"/>
    <mergeCell ref="B22:C22"/>
    <mergeCell ref="A1:BJ1"/>
    <mergeCell ref="B5:C5"/>
    <mergeCell ref="D5:M5"/>
    <mergeCell ref="B6:C6"/>
    <mergeCell ref="AF5:AP5"/>
    <mergeCell ref="AQ5:BI5"/>
    <mergeCell ref="B7:C7"/>
    <mergeCell ref="B8:C8"/>
    <mergeCell ref="X5:AB5"/>
    <mergeCell ref="AC5:AE5"/>
    <mergeCell ref="B9:C9"/>
    <mergeCell ref="N5:W5"/>
    <mergeCell ref="B11:C11"/>
    <mergeCell ref="B12:C12"/>
    <mergeCell ref="B10:C10"/>
    <mergeCell ref="B13:C13"/>
    <mergeCell ref="B14:C14"/>
    <mergeCell ref="B23:C23"/>
    <mergeCell ref="D31:M31"/>
    <mergeCell ref="B30:H30"/>
    <mergeCell ref="I30:AD30"/>
    <mergeCell ref="X31:AD31"/>
    <mergeCell ref="B24:C24"/>
    <mergeCell ref="B28:C28"/>
    <mergeCell ref="B26:C26"/>
    <mergeCell ref="B27:C27"/>
    <mergeCell ref="B31:C31"/>
    <mergeCell ref="N31:W31"/>
    <mergeCell ref="B36:C36"/>
    <mergeCell ref="B35:C35"/>
    <mergeCell ref="B34:C34"/>
    <mergeCell ref="B32:C32"/>
    <mergeCell ref="B25:C25"/>
    <mergeCell ref="B33:C33"/>
    <mergeCell ref="X45:AR45"/>
    <mergeCell ref="X46:AR46"/>
    <mergeCell ref="B46:M46"/>
    <mergeCell ref="AL48:AR48"/>
    <mergeCell ref="B49:C49"/>
    <mergeCell ref="B48:C48"/>
    <mergeCell ref="D48:M48"/>
    <mergeCell ref="X48:AD48"/>
    <mergeCell ref="AE48:AK48"/>
    <mergeCell ref="N48:W48"/>
    <mergeCell ref="B38:C38"/>
    <mergeCell ref="B37:C37"/>
    <mergeCell ref="B51:C51"/>
    <mergeCell ref="B50:C50"/>
    <mergeCell ref="B57:C57"/>
    <mergeCell ref="B55:C55"/>
    <mergeCell ref="B56:C56"/>
    <mergeCell ref="B53:C53"/>
    <mergeCell ref="B54:C54"/>
    <mergeCell ref="B52:C52"/>
    <mergeCell ref="B40:C40"/>
    <mergeCell ref="B39:C39"/>
  </mergeCells>
  <phoneticPr fontId="1"/>
  <pageMargins left="0.23622047244094491" right="0.23622047244094491" top="0.31496062992125984" bottom="0.27559055118110237" header="0.35433070866141736" footer="0.15748031496062992"/>
  <pageSetup paperSize="9" scale="67" orientation="landscape" horizont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3" t="str">
        <f ca="1">RIGHT(CELL("filename",A1),LEN(CELL("filename",A1))-FIND("]",CELL("filename",A1)))</f>
        <v>画面定義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34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381</v>
      </c>
    </row>
    <row r="25" spans="1:51" ht="15" customHeight="1">
      <c r="A25" s="2"/>
      <c r="B25" s="139" t="s">
        <v>0</v>
      </c>
      <c r="C25" s="139"/>
      <c r="D25" s="139" t="s">
        <v>18</v>
      </c>
      <c r="E25" s="139"/>
      <c r="F25" s="139"/>
      <c r="G25" s="139"/>
      <c r="H25" s="139"/>
      <c r="I25" s="139"/>
      <c r="J25" s="139"/>
      <c r="K25" s="139"/>
      <c r="L25" s="139"/>
      <c r="M25" s="139"/>
      <c r="N25" s="141" t="s">
        <v>12</v>
      </c>
      <c r="O25" s="142"/>
      <c r="P25" s="142"/>
      <c r="Q25" s="142"/>
      <c r="R25" s="142"/>
      <c r="S25" s="143"/>
      <c r="T25" s="141" t="s">
        <v>54</v>
      </c>
      <c r="U25" s="142"/>
      <c r="V25" s="142"/>
      <c r="W25" s="142"/>
      <c r="X25" s="142"/>
      <c r="Y25" s="143"/>
      <c r="Z25" s="141" t="s">
        <v>55</v>
      </c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3"/>
      <c r="AL25" s="141" t="s">
        <v>56</v>
      </c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2"/>
      <c r="AX25" s="142"/>
      <c r="AY25" s="143"/>
    </row>
    <row r="26" spans="1:51" ht="15" customHeight="1">
      <c r="A26" s="2"/>
      <c r="B26" s="125">
        <v>1</v>
      </c>
      <c r="C26" s="125"/>
      <c r="D26" s="66"/>
      <c r="E26" s="67"/>
      <c r="F26" s="67"/>
      <c r="G26" s="67"/>
      <c r="H26" s="67"/>
      <c r="I26" s="67"/>
      <c r="J26" s="67"/>
      <c r="K26" s="67"/>
      <c r="L26" s="67"/>
      <c r="M26" s="68"/>
      <c r="N26" s="11" t="s">
        <v>19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125">
        <v>2</v>
      </c>
      <c r="C27" s="125"/>
      <c r="D27" s="66"/>
      <c r="E27" s="67"/>
      <c r="F27" s="67"/>
      <c r="G27" s="67"/>
      <c r="H27" s="67"/>
      <c r="I27" s="67"/>
      <c r="J27" s="67"/>
      <c r="K27" s="67"/>
      <c r="L27" s="67"/>
      <c r="M27" s="68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125">
        <v>3</v>
      </c>
      <c r="C28" s="125"/>
      <c r="D28" s="66"/>
      <c r="E28" s="67"/>
      <c r="F28" s="67"/>
      <c r="G28" s="67"/>
      <c r="H28" s="67"/>
      <c r="I28" s="67"/>
      <c r="J28" s="67"/>
      <c r="K28" s="67"/>
      <c r="L28" s="67"/>
      <c r="M28" s="68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125">
        <v>4</v>
      </c>
      <c r="C29" s="125"/>
      <c r="D29" s="66"/>
      <c r="E29" s="67"/>
      <c r="F29" s="67"/>
      <c r="G29" s="67"/>
      <c r="H29" s="67"/>
      <c r="I29" s="67"/>
      <c r="J29" s="67"/>
      <c r="K29" s="67"/>
      <c r="L29" s="67"/>
      <c r="M29" s="68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125">
        <v>5</v>
      </c>
      <c r="C30" s="125"/>
      <c r="D30" s="66"/>
      <c r="E30" s="67"/>
      <c r="F30" s="67"/>
      <c r="G30" s="67"/>
      <c r="H30" s="67"/>
      <c r="I30" s="67"/>
      <c r="J30" s="67"/>
      <c r="K30" s="67"/>
      <c r="L30" s="67"/>
      <c r="M30" s="68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125">
        <v>6</v>
      </c>
      <c r="C31" s="125"/>
      <c r="D31" s="66"/>
      <c r="E31" s="67"/>
      <c r="F31" s="67"/>
      <c r="G31" s="67"/>
      <c r="H31" s="67"/>
      <c r="I31" s="67"/>
      <c r="J31" s="67"/>
      <c r="K31" s="67"/>
      <c r="L31" s="67"/>
      <c r="M31" s="68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125">
        <v>7</v>
      </c>
      <c r="C32" s="125"/>
      <c r="D32" s="66"/>
      <c r="E32" s="67"/>
      <c r="F32" s="67"/>
      <c r="G32" s="67"/>
      <c r="H32" s="67"/>
      <c r="I32" s="67"/>
      <c r="J32" s="67"/>
      <c r="K32" s="67"/>
      <c r="L32" s="67"/>
      <c r="M32" s="68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A155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22" t="str">
        <f ca="1">RIGHT(CELL("filename",A1),LEN(CELL("filename",A1))-FIND("]",CELL("filename",A1)))</f>
        <v>処理フロー図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35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3" s="5" customFormat="1" ht="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6" spans="1:53" ht="15" customHeight="1" thickBot="1">
      <c r="A16" s="3" t="s">
        <v>79</v>
      </c>
      <c r="AA16" s="14" t="s">
        <v>80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</row>
    <row r="17" spans="11:51" ht="15" customHeight="1">
      <c r="AA17" s="1" t="s">
        <v>81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 spans="11:51" ht="15" customHeight="1">
      <c r="AA18" s="2" t="s">
        <v>82</v>
      </c>
    </row>
    <row r="19" spans="11:51" ht="15" customHeight="1">
      <c r="AA19" s="2" t="s">
        <v>83</v>
      </c>
    </row>
    <row r="20" spans="11:51" ht="15" customHeight="1">
      <c r="AA20" s="1" t="s">
        <v>84</v>
      </c>
      <c r="AB20" s="5"/>
      <c r="AC20" s="5"/>
      <c r="AD20" s="5"/>
      <c r="AE20" s="5"/>
      <c r="AF20" s="5"/>
      <c r="AG20" s="5"/>
      <c r="AH20" s="5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11:51" ht="15" customHeight="1">
      <c r="AB21" s="1" t="s">
        <v>86</v>
      </c>
      <c r="AL21" s="1" t="s">
        <v>87</v>
      </c>
    </row>
    <row r="22" spans="11:51" ht="15" customHeight="1">
      <c r="AA22" s="2"/>
      <c r="AB22" s="2" t="s">
        <v>88</v>
      </c>
      <c r="AC22" s="2"/>
      <c r="AD22" s="2"/>
      <c r="AE22" s="2"/>
      <c r="AF22" s="2"/>
      <c r="AG22" s="2"/>
      <c r="AH22" s="2"/>
    </row>
    <row r="23" spans="11:51" ht="15" customHeight="1">
      <c r="AA23" s="2"/>
      <c r="AB23" s="2" t="s">
        <v>89</v>
      </c>
      <c r="AC23" s="2"/>
      <c r="AD23" s="2"/>
      <c r="AE23" s="2"/>
      <c r="AF23" s="2"/>
      <c r="AG23" s="2"/>
      <c r="AH23" s="2"/>
    </row>
    <row r="24" spans="11:51" ht="15" customHeight="1">
      <c r="O24" s="1" t="s">
        <v>90</v>
      </c>
      <c r="P24" s="16"/>
      <c r="AA24" s="1" t="s">
        <v>91</v>
      </c>
      <c r="AC24" s="2"/>
      <c r="AD24" s="2"/>
      <c r="AE24" s="2"/>
      <c r="AF24" s="2"/>
      <c r="AG24" s="2"/>
      <c r="AH24" s="2"/>
    </row>
    <row r="25" spans="11:51" ht="15" customHeight="1">
      <c r="AC25" s="2"/>
      <c r="AD25" s="2"/>
      <c r="AE25" s="2"/>
      <c r="AF25" s="2"/>
      <c r="AG25" s="2"/>
      <c r="AH25" s="2"/>
    </row>
    <row r="26" spans="11:51" ht="15" customHeight="1">
      <c r="AA26" s="2" t="s">
        <v>92</v>
      </c>
      <c r="AC26" s="2"/>
      <c r="AD26" s="2"/>
      <c r="AE26" s="2"/>
      <c r="AF26" s="2"/>
      <c r="AG26" s="2"/>
      <c r="AH26" s="2"/>
    </row>
    <row r="27" spans="11:51" ht="15" customHeight="1">
      <c r="K27" s="16" t="s">
        <v>93</v>
      </c>
      <c r="AA27" s="2" t="s">
        <v>94</v>
      </c>
      <c r="AC27" s="2"/>
      <c r="AD27" s="2"/>
      <c r="AE27" s="2"/>
      <c r="AF27" s="2"/>
      <c r="AG27" s="2"/>
      <c r="AH27" s="2"/>
    </row>
    <row r="28" spans="11:51" ht="15" customHeight="1">
      <c r="AA28" s="2" t="s">
        <v>95</v>
      </c>
      <c r="AC28" s="2"/>
      <c r="AD28" s="2"/>
      <c r="AE28" s="2"/>
      <c r="AF28" s="2"/>
      <c r="AG28" s="2"/>
      <c r="AH28" s="2"/>
    </row>
    <row r="29" spans="11:51" ht="15" customHeight="1">
      <c r="O29" s="2"/>
    </row>
    <row r="30" spans="11:51" ht="15" customHeight="1" thickBot="1">
      <c r="O30" s="1" t="s">
        <v>90</v>
      </c>
      <c r="AA30" s="14" t="s">
        <v>96</v>
      </c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</row>
    <row r="31" spans="11:51" ht="15" customHeight="1">
      <c r="AA31" s="1" t="s">
        <v>81</v>
      </c>
    </row>
    <row r="32" spans="11:51" ht="15" customHeight="1">
      <c r="AA32" s="1" t="s">
        <v>97</v>
      </c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11:51" ht="15" customHeight="1">
      <c r="K33" s="1" t="s">
        <v>93</v>
      </c>
      <c r="AA33" s="2" t="s">
        <v>98</v>
      </c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11:51" ht="15" customHeight="1">
      <c r="AA34" s="2" t="s">
        <v>99</v>
      </c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11:51" ht="15" customHeight="1">
      <c r="AA35" s="1" t="s">
        <v>100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1:51" ht="15" customHeight="1">
      <c r="O36" s="2"/>
      <c r="AB36" s="1" t="s">
        <v>85</v>
      </c>
    </row>
    <row r="37" spans="11:51" ht="15" customHeight="1">
      <c r="AA37" s="2"/>
      <c r="AB37" s="2" t="s">
        <v>101</v>
      </c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11:51" ht="15" customHeight="1">
      <c r="AA38" s="2"/>
      <c r="AB38" s="2" t="s">
        <v>102</v>
      </c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11:51" ht="15" customHeight="1">
      <c r="AA39" s="2"/>
      <c r="AB39" s="2" t="s">
        <v>103</v>
      </c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T39" s="2"/>
      <c r="AU39" s="2"/>
      <c r="AV39" s="2"/>
      <c r="AW39" s="2"/>
      <c r="AX39" s="2"/>
      <c r="AY39" s="2"/>
    </row>
    <row r="40" spans="11:51" ht="15" customHeight="1">
      <c r="AA40" s="1" t="s">
        <v>104</v>
      </c>
    </row>
    <row r="42" spans="11:51" ht="15" customHeight="1" thickBot="1">
      <c r="AA42" s="14" t="s">
        <v>105</v>
      </c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</row>
    <row r="43" spans="11:51" ht="15" customHeight="1">
      <c r="AA43" s="2" t="s">
        <v>106</v>
      </c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11:51" ht="15" customHeight="1">
      <c r="O44" s="2" t="s">
        <v>107</v>
      </c>
      <c r="AA44" s="1" t="s">
        <v>84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1:51" ht="15" customHeight="1">
      <c r="AB45" s="1" t="s">
        <v>109</v>
      </c>
    </row>
    <row r="46" spans="11:51" ht="15" customHeight="1">
      <c r="AA46" s="2"/>
      <c r="AB46" s="2" t="s">
        <v>110</v>
      </c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</row>
    <row r="47" spans="11:51" ht="15" customHeight="1">
      <c r="AA47" s="2"/>
      <c r="AB47" s="2" t="s">
        <v>102</v>
      </c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</row>
    <row r="48" spans="11:51" ht="15" customHeight="1">
      <c r="AA48" s="2"/>
      <c r="AB48" s="2" t="s">
        <v>111</v>
      </c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T48" s="2"/>
      <c r="AU48" s="2"/>
      <c r="AV48" s="2"/>
      <c r="AW48" s="2"/>
      <c r="AX48" s="2"/>
      <c r="AY48" s="2"/>
    </row>
    <row r="49" spans="15:51" ht="15" customHeight="1">
      <c r="AB49" s="1" t="s">
        <v>112</v>
      </c>
      <c r="AY49" s="2"/>
    </row>
    <row r="50" spans="15:51" ht="15" customHeight="1">
      <c r="AA50" s="1" t="s">
        <v>113</v>
      </c>
    </row>
    <row r="51" spans="15:51" ht="15" customHeight="1">
      <c r="AA51" s="1" t="s">
        <v>114</v>
      </c>
    </row>
    <row r="52" spans="15:51" ht="15" customHeight="1">
      <c r="O52" s="2" t="s">
        <v>107</v>
      </c>
      <c r="AA52" s="2" t="s">
        <v>99</v>
      </c>
    </row>
    <row r="54" spans="15:51" ht="15" customHeight="1" thickBot="1">
      <c r="AA54" s="14" t="s">
        <v>115</v>
      </c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</row>
    <row r="55" spans="15:51" ht="15" customHeight="1">
      <c r="AA55" s="1" t="s">
        <v>116</v>
      </c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</row>
    <row r="56" spans="15:51" ht="15" customHeight="1">
      <c r="AA56" s="2" t="s">
        <v>117</v>
      </c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</row>
    <row r="57" spans="15:51" ht="15" customHeight="1">
      <c r="AA57" s="1" t="s">
        <v>100</v>
      </c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5:51" ht="15" customHeight="1">
      <c r="AB58" s="1" t="s">
        <v>86</v>
      </c>
      <c r="AL58" s="1" t="s">
        <v>118</v>
      </c>
    </row>
    <row r="59" spans="15:51" ht="15" customHeight="1">
      <c r="AA59" s="2"/>
      <c r="AB59" s="2" t="s">
        <v>88</v>
      </c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</row>
    <row r="60" spans="15:51" ht="15" customHeight="1">
      <c r="O60" s="2" t="s">
        <v>107</v>
      </c>
      <c r="AA60" s="2"/>
      <c r="AB60" s="2" t="s">
        <v>119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</row>
    <row r="61" spans="15:51" ht="15" customHeight="1">
      <c r="AA61" s="1" t="s">
        <v>91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T61" s="2"/>
      <c r="AU61" s="2"/>
      <c r="AV61" s="2"/>
      <c r="AW61" s="2"/>
      <c r="AX61" s="2"/>
      <c r="AY61" s="2"/>
    </row>
    <row r="62" spans="15:51" ht="15" customHeight="1">
      <c r="AY62" s="2"/>
    </row>
    <row r="63" spans="15:51" ht="15" customHeight="1" thickBot="1">
      <c r="AA63" s="14" t="s">
        <v>120</v>
      </c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</row>
    <row r="64" spans="15:51" ht="15" customHeight="1">
      <c r="AA64" s="1" t="s">
        <v>121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</row>
    <row r="65" spans="15:51" ht="15" customHeight="1">
      <c r="AA65" s="2" t="s">
        <v>122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</row>
    <row r="66" spans="15:51" ht="15" customHeight="1">
      <c r="AA66" s="1" t="s">
        <v>100</v>
      </c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5:51" ht="15" customHeight="1">
      <c r="AB67" s="1" t="s">
        <v>85</v>
      </c>
      <c r="AL67" s="1" t="s">
        <v>123</v>
      </c>
    </row>
    <row r="68" spans="15:51" ht="15" customHeight="1">
      <c r="AA68" s="2"/>
      <c r="AB68" s="2" t="s">
        <v>88</v>
      </c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</row>
    <row r="69" spans="15:51" ht="15" customHeight="1">
      <c r="AA69" s="2"/>
      <c r="AB69" s="2" t="s">
        <v>124</v>
      </c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</row>
    <row r="70" spans="15:51" ht="15" customHeight="1">
      <c r="AA70" s="1" t="s">
        <v>91</v>
      </c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T70" s="2"/>
      <c r="AU70" s="2"/>
      <c r="AV70" s="2"/>
      <c r="AW70" s="2"/>
      <c r="AX70" s="2"/>
      <c r="AY70" s="2"/>
    </row>
    <row r="72" spans="15:51" ht="15" customHeight="1" thickBot="1">
      <c r="AA72" s="14" t="s">
        <v>125</v>
      </c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</row>
    <row r="73" spans="15:51" ht="15" customHeight="1">
      <c r="AA73" s="1" t="s">
        <v>126</v>
      </c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</row>
    <row r="74" spans="15:51" ht="15" customHeight="1">
      <c r="AA74" s="2" t="s">
        <v>127</v>
      </c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</row>
    <row r="75" spans="15:51" ht="15" customHeight="1">
      <c r="AA75" s="1" t="s">
        <v>100</v>
      </c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5:51" ht="15" customHeight="1">
      <c r="AB76" s="1" t="s">
        <v>85</v>
      </c>
      <c r="AL76" s="1" t="s">
        <v>128</v>
      </c>
    </row>
    <row r="77" spans="15:51" ht="15" customHeight="1">
      <c r="AA77" s="2"/>
      <c r="AB77" s="2" t="s">
        <v>88</v>
      </c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</row>
    <row r="78" spans="15:51" ht="15" customHeight="1">
      <c r="O78" s="2" t="s">
        <v>107</v>
      </c>
      <c r="AA78" s="2"/>
      <c r="AB78" s="2" t="s">
        <v>129</v>
      </c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5:51" ht="15" customHeight="1">
      <c r="AA79" s="1" t="s">
        <v>91</v>
      </c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T79" s="2"/>
      <c r="AU79" s="2"/>
      <c r="AV79" s="2"/>
      <c r="AW79" s="2"/>
      <c r="AX79" s="2"/>
      <c r="AY79" s="2"/>
    </row>
    <row r="81" spans="15:51" ht="15" customHeight="1" thickBot="1">
      <c r="AA81" s="14" t="s">
        <v>130</v>
      </c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</row>
    <row r="82" spans="15:51" ht="15" customHeight="1">
      <c r="AA82" s="1" t="s">
        <v>131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5:51" ht="15" customHeight="1">
      <c r="AA83" s="2" t="s">
        <v>132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5:51" ht="15" customHeight="1">
      <c r="AA84" s="1" t="s">
        <v>133</v>
      </c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6" spans="15:51" ht="15" customHeight="1" thickBot="1">
      <c r="AA86" s="14" t="s">
        <v>134</v>
      </c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</row>
    <row r="87" spans="15:51" ht="15" customHeight="1">
      <c r="AA87" s="1" t="s">
        <v>135</v>
      </c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5:51" ht="15" customHeight="1">
      <c r="AA88" s="2" t="s">
        <v>136</v>
      </c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5:51" ht="15" customHeight="1"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5:51" ht="15" customHeight="1" thickBot="1">
      <c r="AA90" s="14" t="s">
        <v>137</v>
      </c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</row>
    <row r="91" spans="15:51" ht="15" customHeight="1">
      <c r="AA91" s="1" t="s">
        <v>138</v>
      </c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5:51" ht="15" customHeight="1">
      <c r="AA92" s="1" t="s">
        <v>139</v>
      </c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5:51" ht="15" customHeight="1">
      <c r="O93" s="2" t="s">
        <v>107</v>
      </c>
      <c r="AA93" s="2" t="s">
        <v>84</v>
      </c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5:51" ht="15" customHeight="1">
      <c r="AB94" s="1" t="s">
        <v>109</v>
      </c>
    </row>
    <row r="95" spans="15:51" ht="15" customHeight="1">
      <c r="AB95" s="1" t="s">
        <v>140</v>
      </c>
    </row>
    <row r="96" spans="15:51" ht="15" customHeight="1">
      <c r="AB96" s="1" t="s">
        <v>141</v>
      </c>
    </row>
    <row r="97" spans="15:51" ht="15" customHeight="1">
      <c r="AB97" s="1" t="s">
        <v>142</v>
      </c>
    </row>
    <row r="98" spans="15:51" ht="15" customHeight="1">
      <c r="AB98" s="1" t="s">
        <v>143</v>
      </c>
    </row>
    <row r="99" spans="15:51" ht="15" customHeight="1">
      <c r="AA99" s="1" t="s">
        <v>144</v>
      </c>
    </row>
    <row r="100" spans="15:51" ht="15" customHeight="1">
      <c r="AA100" s="1" t="s">
        <v>145</v>
      </c>
    </row>
    <row r="101" spans="15:51" ht="15" customHeight="1">
      <c r="O101" s="2" t="s">
        <v>107</v>
      </c>
      <c r="AA101" s="1" t="s">
        <v>146</v>
      </c>
    </row>
    <row r="102" spans="15:51" ht="15" customHeight="1">
      <c r="O102" s="2"/>
      <c r="AA102" s="1" t="s">
        <v>147</v>
      </c>
    </row>
    <row r="103" spans="15:51" ht="15" customHeight="1">
      <c r="O103" s="2"/>
      <c r="AA103" s="1" t="s">
        <v>148</v>
      </c>
    </row>
    <row r="105" spans="15:51" ht="15" customHeight="1" thickBot="1">
      <c r="AA105" s="14" t="s">
        <v>149</v>
      </c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</row>
    <row r="106" spans="15:51" ht="15" customHeight="1">
      <c r="AA106" s="1" t="s">
        <v>150</v>
      </c>
    </row>
    <row r="107" spans="15:51" ht="15" customHeight="1">
      <c r="AA107" s="1" t="s">
        <v>151</v>
      </c>
    </row>
    <row r="108" spans="15:51" ht="15" customHeight="1">
      <c r="AA108" s="1" t="s">
        <v>152</v>
      </c>
    </row>
    <row r="109" spans="15:51" ht="15" customHeight="1">
      <c r="AB109" s="1" t="s">
        <v>153</v>
      </c>
    </row>
    <row r="111" spans="15:51" ht="15" customHeight="1">
      <c r="AA111" s="1" t="s">
        <v>154</v>
      </c>
    </row>
    <row r="112" spans="15:51" ht="15" customHeight="1">
      <c r="AB112" s="1" t="s">
        <v>155</v>
      </c>
    </row>
    <row r="114" spans="1:51" ht="15" customHeight="1" thickBot="1">
      <c r="AA114" s="14" t="s">
        <v>156</v>
      </c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</row>
    <row r="115" spans="1:51" ht="15" customHeight="1">
      <c r="AA115" s="1" t="s">
        <v>157</v>
      </c>
    </row>
    <row r="116" spans="1:51" ht="15" customHeight="1">
      <c r="AA116" s="1" t="s">
        <v>158</v>
      </c>
    </row>
    <row r="118" spans="1:51" ht="15" customHeight="1" thickBot="1">
      <c r="AA118" s="14" t="s">
        <v>159</v>
      </c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</row>
    <row r="119" spans="1:51" ht="15" customHeight="1">
      <c r="AA119" s="1" t="s">
        <v>160</v>
      </c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ht="15" customHeight="1">
      <c r="AA120" s="1" t="s">
        <v>161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ht="15" customHeight="1">
      <c r="AA121" s="2" t="s">
        <v>84</v>
      </c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ht="15" customHeight="1">
      <c r="AB122" s="1" t="s">
        <v>109</v>
      </c>
    </row>
    <row r="123" spans="1:51" ht="15" customHeight="1">
      <c r="AB123" s="1" t="s">
        <v>162</v>
      </c>
    </row>
    <row r="124" spans="1:51" ht="15" customHeight="1">
      <c r="A124" s="3"/>
      <c r="AB124" s="1" t="s">
        <v>141</v>
      </c>
    </row>
    <row r="125" spans="1:51" ht="15" customHeight="1">
      <c r="A125" s="3"/>
      <c r="AB125" s="1" t="s">
        <v>142</v>
      </c>
    </row>
    <row r="126" spans="1:51" ht="15" customHeight="1">
      <c r="A126" s="3"/>
      <c r="AB126" s="1" t="s">
        <v>143</v>
      </c>
    </row>
    <row r="127" spans="1:51" ht="15" customHeight="1">
      <c r="A127" s="3"/>
      <c r="AA127" s="1" t="s">
        <v>163</v>
      </c>
    </row>
    <row r="128" spans="1:51" ht="15" customHeight="1">
      <c r="A128" s="3"/>
      <c r="AA128" s="1" t="s">
        <v>164</v>
      </c>
    </row>
    <row r="129" spans="1:51" ht="15" customHeight="1">
      <c r="A129" s="3"/>
      <c r="AA129" s="1" t="s">
        <v>165</v>
      </c>
    </row>
    <row r="130" spans="1:51" ht="15" customHeight="1">
      <c r="A130" s="3"/>
      <c r="AA130" s="1" t="s">
        <v>166</v>
      </c>
    </row>
    <row r="131" spans="1:51" ht="15" customHeight="1">
      <c r="A131" s="3"/>
      <c r="AA131" s="1" t="s">
        <v>167</v>
      </c>
    </row>
    <row r="132" spans="1:51" ht="15" customHeight="1">
      <c r="A132" s="3"/>
      <c r="AA132" s="1" t="s">
        <v>168</v>
      </c>
    </row>
    <row r="133" spans="1:51" ht="15" customHeight="1">
      <c r="A133" s="3"/>
    </row>
    <row r="134" spans="1:51" ht="15" customHeight="1" thickBot="1">
      <c r="A134" s="3"/>
      <c r="AA134" s="14" t="s">
        <v>169</v>
      </c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51" ht="15" customHeight="1">
      <c r="A135" s="3"/>
      <c r="AA135" s="1" t="s">
        <v>170</v>
      </c>
    </row>
    <row r="136" spans="1:51" ht="15" customHeight="1">
      <c r="A136" s="3"/>
      <c r="AA136" s="1" t="s">
        <v>171</v>
      </c>
    </row>
    <row r="137" spans="1:51" ht="15" customHeight="1">
      <c r="A137" s="3"/>
      <c r="AA137" s="1" t="s">
        <v>172</v>
      </c>
    </row>
    <row r="138" spans="1:51" ht="15" customHeight="1">
      <c r="A138" s="3"/>
      <c r="AA138" s="1" t="s">
        <v>173</v>
      </c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51" ht="15" customHeight="1">
      <c r="A139" s="3"/>
      <c r="AA139" s="1" t="s">
        <v>100</v>
      </c>
      <c r="AB139" s="5"/>
      <c r="AC139" s="5"/>
      <c r="AD139" s="5"/>
      <c r="AE139" s="5"/>
      <c r="AF139" s="5"/>
      <c r="AG139" s="5"/>
      <c r="AH139" s="5"/>
    </row>
    <row r="140" spans="1:51" ht="15" customHeight="1">
      <c r="A140" s="3"/>
      <c r="AB140" s="1" t="s">
        <v>174</v>
      </c>
      <c r="AI140" s="2"/>
      <c r="AJ140" s="2"/>
      <c r="AK140" s="2"/>
      <c r="AL140" s="1" t="s">
        <v>175</v>
      </c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</row>
    <row r="141" spans="1:51" ht="15" customHeight="1">
      <c r="A141" s="3"/>
      <c r="AA141" s="2"/>
      <c r="AB141" s="2" t="s">
        <v>176</v>
      </c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</row>
    <row r="142" spans="1:51" ht="15" customHeight="1">
      <c r="A142" s="3"/>
      <c r="AA142" s="2"/>
      <c r="AB142" s="2" t="s">
        <v>177</v>
      </c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T142" s="2"/>
      <c r="AU142" s="2"/>
      <c r="AV142" s="2"/>
      <c r="AW142" s="2"/>
    </row>
    <row r="143" spans="1:51" ht="15" customHeight="1">
      <c r="A143" s="3"/>
      <c r="AC143" s="2"/>
      <c r="AD143" s="2"/>
      <c r="AE143" s="2" t="s">
        <v>178</v>
      </c>
      <c r="AG143" s="2"/>
      <c r="AH143" s="2"/>
    </row>
    <row r="144" spans="1:51" ht="15" customHeight="1">
      <c r="A144" s="3"/>
      <c r="AB144" s="1" t="s">
        <v>142</v>
      </c>
    </row>
    <row r="145" spans="1:48" ht="15" customHeight="1">
      <c r="A145" s="3"/>
      <c r="AA145" s="1" t="s">
        <v>179</v>
      </c>
    </row>
    <row r="146" spans="1:48" ht="15" customHeight="1">
      <c r="A146" s="3"/>
    </row>
    <row r="147" spans="1:48" ht="15" customHeight="1">
      <c r="AA147" s="1" t="s">
        <v>180</v>
      </c>
    </row>
    <row r="148" spans="1:48" ht="15" customHeight="1">
      <c r="A148" s="3"/>
      <c r="AA148" s="1" t="s">
        <v>181</v>
      </c>
    </row>
    <row r="149" spans="1:48" ht="15" customHeight="1">
      <c r="A149" s="3"/>
      <c r="AA149" s="1" t="s">
        <v>182</v>
      </c>
    </row>
    <row r="150" spans="1:48" ht="15" customHeight="1">
      <c r="A150" s="3"/>
      <c r="AA150" s="1" t="s">
        <v>100</v>
      </c>
      <c r="AB150" s="5"/>
      <c r="AC150" s="5"/>
      <c r="AD150" s="5"/>
      <c r="AE150" s="5"/>
      <c r="AF150" s="5"/>
      <c r="AG150" s="5"/>
      <c r="AH150" s="5"/>
    </row>
    <row r="151" spans="1:48" ht="15" customHeight="1">
      <c r="A151" s="3"/>
      <c r="AB151" s="1" t="s">
        <v>108</v>
      </c>
      <c r="AI151" s="2"/>
      <c r="AJ151" s="2"/>
      <c r="AK151" s="2"/>
      <c r="AL151" s="1" t="s">
        <v>175</v>
      </c>
      <c r="AM151" s="2"/>
      <c r="AN151" s="2"/>
      <c r="AO151" s="2"/>
      <c r="AP151" s="2"/>
      <c r="AQ151" s="2"/>
      <c r="AR151" s="2"/>
      <c r="AS151" s="2"/>
      <c r="AT151" s="2"/>
      <c r="AU151" s="2"/>
      <c r="AV151" s="2"/>
    </row>
    <row r="152" spans="1:48" ht="15" customHeight="1">
      <c r="A152" s="3"/>
      <c r="AA152" s="2"/>
      <c r="AB152" s="2" t="s">
        <v>183</v>
      </c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</row>
    <row r="153" spans="1:48" ht="15" customHeight="1">
      <c r="A153" s="3"/>
      <c r="AA153" s="2"/>
      <c r="AB153" s="2" t="s">
        <v>177</v>
      </c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T153" s="2"/>
      <c r="AU153" s="2"/>
      <c r="AV153" s="2"/>
    </row>
    <row r="154" spans="1:48" ht="15" customHeight="1">
      <c r="A154" s="3"/>
      <c r="AB154" s="1" t="s">
        <v>142</v>
      </c>
    </row>
    <row r="155" spans="1:48" ht="15" customHeight="1">
      <c r="A155" s="3"/>
      <c r="AA155" s="1" t="s">
        <v>184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99" orientation="landscape" horizontalDpi="4294967293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123" t="str">
        <f ca="1">RIGHT(CELL("filename",A1),LEN(CELL("filename",A1))-FIND("]",CELL("filename",A1)))</f>
        <v>帳票定義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</row>
    <row r="3" spans="1:68" s="5" customFormat="1" ht="15" customHeight="1">
      <c r="A3" s="3" t="s">
        <v>36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13</v>
      </c>
      <c r="C4" s="7"/>
    </row>
    <row r="5" spans="1:68" ht="15" customHeight="1">
      <c r="A5" s="4"/>
      <c r="B5" s="144" t="s">
        <v>38</v>
      </c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145" t="s">
        <v>11</v>
      </c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21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3"/>
    </row>
    <row r="7" spans="1:68" ht="15" customHeight="1">
      <c r="A7" s="4"/>
      <c r="B7" s="147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24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5"/>
    </row>
    <row r="8" spans="1:68" ht="15" customHeight="1">
      <c r="A8" s="4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8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30"/>
    </row>
    <row r="9" spans="1:68" ht="15" customHeight="1">
      <c r="A9" s="4"/>
      <c r="B9" s="17" t="s">
        <v>39</v>
      </c>
      <c r="C9" s="17"/>
      <c r="D9" s="19"/>
      <c r="E9" s="19"/>
      <c r="F9" s="19"/>
      <c r="G9" s="19"/>
      <c r="H9" s="19"/>
      <c r="I9" s="19"/>
      <c r="J9" s="19"/>
      <c r="K9" s="19"/>
      <c r="L9" s="19"/>
      <c r="M9" s="20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8" t="s">
        <v>40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8" t="s">
        <v>41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8" t="s">
        <v>42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31" t="s">
        <v>3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3"/>
      <c r="N13" s="34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3"/>
    </row>
    <row r="14" spans="1:68" ht="15" customHeight="1">
      <c r="B14" s="35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7"/>
      <c r="N14" s="3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5"/>
    </row>
    <row r="15" spans="1:68" ht="15" customHeight="1">
      <c r="B15" s="35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7"/>
      <c r="N15" s="3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5"/>
    </row>
    <row r="16" spans="1:68" ht="15" customHeight="1">
      <c r="B16" s="26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39"/>
      <c r="N16" s="40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30"/>
    </row>
    <row r="18" spans="1:52" ht="15" customHeight="1">
      <c r="A18" s="3" t="s">
        <v>37</v>
      </c>
    </row>
    <row r="19" spans="1:52" ht="15" customHeight="1">
      <c r="A19" s="7" t="s">
        <v>186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139" t="s">
        <v>43</v>
      </c>
      <c r="C20" s="139"/>
      <c r="D20" s="144" t="s">
        <v>44</v>
      </c>
      <c r="E20" s="144"/>
      <c r="F20" s="144"/>
      <c r="G20" s="144"/>
      <c r="H20" s="144"/>
      <c r="I20" s="144"/>
      <c r="J20" s="144"/>
      <c r="K20" s="144"/>
      <c r="L20" s="144"/>
      <c r="M20" s="144"/>
      <c r="N20" s="144" t="s">
        <v>45</v>
      </c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  <c r="AA20" s="144" t="s">
        <v>46</v>
      </c>
      <c r="AB20" s="144"/>
      <c r="AC20" s="144"/>
      <c r="AD20" s="144"/>
      <c r="AE20" s="144"/>
      <c r="AF20" s="144"/>
      <c r="AG20" s="144"/>
      <c r="AH20" s="144"/>
      <c r="AI20" s="144"/>
      <c r="AJ20" s="144"/>
      <c r="AK20" s="144"/>
      <c r="AL20" s="144"/>
      <c r="AM20" s="144"/>
      <c r="AN20" s="144" t="s">
        <v>3</v>
      </c>
      <c r="AO20" s="144"/>
      <c r="AP20" s="144"/>
      <c r="AQ20" s="144"/>
      <c r="AR20" s="144"/>
      <c r="AS20" s="144"/>
      <c r="AT20" s="144"/>
      <c r="AU20" s="144"/>
      <c r="AV20" s="144"/>
      <c r="AW20" s="144"/>
      <c r="AX20" s="144"/>
      <c r="AY20" s="144"/>
    </row>
    <row r="21" spans="1:52" ht="15" customHeight="1">
      <c r="B21" s="125">
        <v>1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125">
        <v>2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25">
        <v>3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25">
        <v>4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25">
        <v>5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25">
        <v>6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25">
        <v>7</v>
      </c>
      <c r="C27" s="125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125">
        <v>8</v>
      </c>
      <c r="C28" s="125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125">
        <v>9</v>
      </c>
      <c r="C29" s="125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125">
        <v>10</v>
      </c>
      <c r="C30" s="125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125">
        <v>11</v>
      </c>
      <c r="C31" s="125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125">
        <v>12</v>
      </c>
      <c r="C32" s="125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125"/>
      <c r="C33" s="125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  <mergeCell ref="B21:C21"/>
    <mergeCell ref="B22:C22"/>
    <mergeCell ref="B23:C23"/>
    <mergeCell ref="B24:C24"/>
    <mergeCell ref="B25:C25"/>
    <mergeCell ref="B26:C26"/>
    <mergeCell ref="B27:C27"/>
    <mergeCell ref="B33:C33"/>
    <mergeCell ref="B28:C28"/>
    <mergeCell ref="B29:C29"/>
    <mergeCell ref="B30:C30"/>
    <mergeCell ref="B31:C31"/>
    <mergeCell ref="B32:C32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BJ27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2" ht="28.5">
      <c r="A1" s="123" t="str">
        <f ca="1">RIGHT(CELL("filename",A1),LEN(CELL("filename",A1))-FIND("]",CELL("filename",A1)))</f>
        <v>メッセージ一覧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</row>
    <row r="3" spans="1:62" s="5" customFormat="1" ht="15" customHeight="1">
      <c r="A3" s="3" t="s">
        <v>26</v>
      </c>
      <c r="B3" s="4"/>
      <c r="C3" s="4"/>
      <c r="D3" s="4"/>
      <c r="E3" s="4"/>
      <c r="F3" s="4"/>
      <c r="G3" s="4"/>
    </row>
    <row r="4" spans="1:62" ht="15" customHeight="1">
      <c r="A4" s="4"/>
      <c r="B4" s="7" t="s">
        <v>13</v>
      </c>
      <c r="C4" s="7"/>
    </row>
    <row r="5" spans="1:62" ht="15" customHeight="1">
      <c r="A5" s="4"/>
      <c r="B5" s="139" t="s">
        <v>43</v>
      </c>
      <c r="C5" s="139"/>
      <c r="D5" s="144" t="s">
        <v>2</v>
      </c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 t="s">
        <v>47</v>
      </c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 t="s">
        <v>3</v>
      </c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</row>
    <row r="6" spans="1:62" ht="15" customHeight="1">
      <c r="A6" s="4"/>
      <c r="B6" s="125">
        <v>1</v>
      </c>
      <c r="C6" s="125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62" ht="15" customHeight="1">
      <c r="A7" s="4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62" ht="15" customHeight="1">
      <c r="A8" s="4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62" ht="15" customHeight="1">
      <c r="A9" s="4"/>
      <c r="B9" s="125">
        <v>4</v>
      </c>
      <c r="C9" s="125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3"/>
      <c r="T9" s="11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3"/>
      <c r="AN9" s="11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3"/>
    </row>
    <row r="10" spans="1:62" ht="15" customHeight="1">
      <c r="A10" s="4"/>
      <c r="B10" s="125">
        <v>5</v>
      </c>
      <c r="C10" s="125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3"/>
      <c r="T10" s="11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3"/>
      <c r="AN10" s="11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3"/>
    </row>
    <row r="11" spans="1:62" s="5" customFormat="1" ht="15" customHeight="1">
      <c r="A11" s="4"/>
      <c r="B11" s="125">
        <v>6</v>
      </c>
      <c r="C11" s="125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  <c r="T11" s="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3"/>
      <c r="AN11" s="11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3"/>
      <c r="BI11" s="1"/>
      <c r="BJ11" s="1"/>
    </row>
    <row r="12" spans="1:62" ht="15" customHeight="1">
      <c r="B12" s="125">
        <v>7</v>
      </c>
      <c r="C12" s="125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3"/>
      <c r="T12" s="11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3"/>
      <c r="AN12" s="11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3"/>
    </row>
    <row r="13" spans="1:62" ht="15" customHeight="1">
      <c r="B13" s="125">
        <v>8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62" ht="15" customHeight="1">
      <c r="B14" s="125">
        <v>9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62" ht="15" customHeight="1"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</row>
    <row r="16" spans="1:62" ht="15" customHeight="1">
      <c r="A16" s="3" t="s">
        <v>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</row>
    <row r="17" spans="1:52" ht="15" customHeight="1">
      <c r="A17" s="3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</row>
    <row r="18" spans="1:52" ht="15" customHeight="1">
      <c r="B18" s="139" t="s">
        <v>43</v>
      </c>
      <c r="C18" s="139"/>
      <c r="D18" s="144" t="s">
        <v>2</v>
      </c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 t="s">
        <v>47</v>
      </c>
      <c r="U18" s="144"/>
      <c r="V18" s="144"/>
      <c r="W18" s="144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4"/>
      <c r="AM18" s="144"/>
      <c r="AN18" s="144" t="s">
        <v>3</v>
      </c>
      <c r="AO18" s="144"/>
      <c r="AP18" s="144"/>
      <c r="AQ18" s="144"/>
      <c r="AR18" s="144"/>
      <c r="AS18" s="144"/>
      <c r="AT18" s="144"/>
      <c r="AU18" s="144"/>
      <c r="AV18" s="144"/>
      <c r="AW18" s="144"/>
      <c r="AX18" s="144"/>
      <c r="AY18" s="144"/>
    </row>
    <row r="19" spans="1:52" ht="15" customHeight="1">
      <c r="B19" s="125">
        <v>1</v>
      </c>
      <c r="C19" s="12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2" ht="15" customHeight="1">
      <c r="B20" s="125">
        <v>2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2" ht="15" customHeight="1">
      <c r="A21" s="4"/>
      <c r="B21" s="125">
        <v>3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3"/>
      <c r="T21" s="1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3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A22" s="4"/>
      <c r="B22" s="125">
        <v>4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3"/>
      <c r="T22" s="11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3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25">
        <v>5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3"/>
      <c r="T23" s="11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3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25">
        <v>6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3"/>
      <c r="T24" s="11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3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25">
        <v>7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3"/>
      <c r="T25" s="11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3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25">
        <v>8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3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49">
        <v>9</v>
      </c>
      <c r="C27" s="150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3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</sheetData>
  <mergeCells count="27">
    <mergeCell ref="T5:AM5"/>
    <mergeCell ref="D5:S5"/>
    <mergeCell ref="B13:C13"/>
    <mergeCell ref="B10:C10"/>
    <mergeCell ref="B11:C11"/>
    <mergeCell ref="B9:C9"/>
    <mergeCell ref="B26:C26"/>
    <mergeCell ref="B23:C23"/>
    <mergeCell ref="B24:C24"/>
    <mergeCell ref="B27:C27"/>
    <mergeCell ref="B20:C20"/>
    <mergeCell ref="A1:AZ1"/>
    <mergeCell ref="B6:C6"/>
    <mergeCell ref="B5:C5"/>
    <mergeCell ref="AN5:AY5"/>
    <mergeCell ref="B25:C25"/>
    <mergeCell ref="B21:C21"/>
    <mergeCell ref="B22:C22"/>
    <mergeCell ref="B19:C19"/>
    <mergeCell ref="B7:C7"/>
    <mergeCell ref="B18:C18"/>
    <mergeCell ref="AN18:AY18"/>
    <mergeCell ref="D18:S18"/>
    <mergeCell ref="T18:AM18"/>
    <mergeCell ref="B12:C12"/>
    <mergeCell ref="B8:C8"/>
    <mergeCell ref="B14:C14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M32"/>
  <sheetViews>
    <sheetView showGridLines="0" view="pageBreakPreview" zoomScaleNormal="90" zoomScaleSheetLayoutView="100" workbookViewId="0">
      <selection sqref="A1:BL1"/>
    </sheetView>
  </sheetViews>
  <sheetFormatPr defaultRowHeight="14.25"/>
  <cols>
    <col min="1" max="65" width="2.5" style="60" customWidth="1"/>
    <col min="66" max="16384" width="9" style="60"/>
  </cols>
  <sheetData>
    <row r="1" spans="1:65" s="1" customFormat="1" ht="28.5">
      <c r="A1" s="151" t="str">
        <f ca="1">RIGHT(CELL("filename",A1),LEN(CELL("filename",A1))-FIND("]",CELL("filename",A1)))</f>
        <v>データフロー図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57"/>
    </row>
    <row r="3" spans="1:65">
      <c r="A3" s="60" t="s">
        <v>327</v>
      </c>
    </row>
    <row r="6" spans="1:65" s="61" customFormat="1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</row>
    <row r="7" spans="1:65" s="61" customFormat="1"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</row>
    <row r="8" spans="1:65" s="61" customFormat="1"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</row>
    <row r="9" spans="1:65" s="61" customFormat="1"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</row>
    <row r="10" spans="1:65" s="61" customFormat="1"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</row>
    <row r="11" spans="1:65" s="61" customFormat="1"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</row>
    <row r="12" spans="1:65" s="61" customFormat="1"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</row>
    <row r="13" spans="1:65" s="61" customFormat="1"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</row>
    <row r="14" spans="1:65" s="61" customFormat="1"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</row>
    <row r="15" spans="1:65" s="61" customFormat="1"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</row>
    <row r="16" spans="1:65" s="61" customFormat="1"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</row>
    <row r="17" spans="2:63" s="61" customFormat="1"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</row>
    <row r="18" spans="2:63" s="61" customFormat="1"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</row>
    <row r="19" spans="2:63" s="61" customFormat="1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2"/>
      <c r="BG19" s="62"/>
      <c r="BH19" s="62"/>
      <c r="BI19" s="62"/>
      <c r="BJ19" s="62"/>
      <c r="BK19" s="62"/>
    </row>
    <row r="20" spans="2:63" s="61" customFormat="1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2"/>
      <c r="BG20" s="62"/>
      <c r="BH20" s="62"/>
      <c r="BI20" s="62"/>
      <c r="BJ20" s="62"/>
      <c r="BK20" s="62"/>
    </row>
    <row r="21" spans="2:63" s="61" customFormat="1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2"/>
      <c r="BG21" s="62"/>
      <c r="BH21" s="62"/>
      <c r="BI21" s="62"/>
      <c r="BJ21" s="62"/>
      <c r="BK21" s="62"/>
    </row>
    <row r="22" spans="2:63" s="61" customFormat="1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2"/>
      <c r="BG22" s="62"/>
      <c r="BH22" s="62"/>
      <c r="BI22" s="62"/>
      <c r="BJ22" s="62"/>
      <c r="BK22" s="62"/>
    </row>
    <row r="23" spans="2:63" s="61" customFormat="1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2"/>
      <c r="BG23" s="62"/>
      <c r="BH23" s="62"/>
      <c r="BI23" s="62"/>
      <c r="BJ23" s="62"/>
      <c r="BK23" s="62"/>
    </row>
    <row r="24" spans="2:63" s="61" customFormat="1"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2"/>
      <c r="BG24" s="62"/>
      <c r="BH24" s="62"/>
      <c r="BI24" s="62"/>
      <c r="BJ24" s="62"/>
      <c r="BK24" s="62"/>
    </row>
    <row r="25" spans="2:63" s="61" customFormat="1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2"/>
      <c r="BG25" s="62"/>
      <c r="BH25" s="62"/>
      <c r="BI25" s="62"/>
      <c r="BJ25" s="62"/>
      <c r="BK25" s="62"/>
    </row>
    <row r="26" spans="2:63" s="61" customFormat="1"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</row>
    <row r="27" spans="2:63" s="61" customFormat="1"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</row>
    <row r="28" spans="2:63" s="61" customFormat="1"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</row>
    <row r="29" spans="2:63" s="61" customFormat="1"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</row>
    <row r="30" spans="2:63" s="61" customFormat="1"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</row>
    <row r="31" spans="2:63" s="61" customFormat="1"/>
    <row r="32" spans="2:63" s="61" customFormat="1"/>
  </sheetData>
  <mergeCells count="1">
    <mergeCell ref="A1:BL1"/>
  </mergeCells>
  <phoneticPr fontId="1"/>
  <pageMargins left="0.7" right="0.7" top="0.75" bottom="0.75" header="0.3" footer="0.3"/>
  <pageSetup paperSize="9" scale="53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123" t="str">
        <f ca="1">RIGHT(CELL("filename",A1),LEN(CELL("filename",A1))-FIND("]",CELL("filename",A1)))</f>
        <v>テーブル定義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  <c r="AX1" s="57"/>
      <c r="AY1" s="57"/>
      <c r="AZ1" s="57"/>
    </row>
    <row r="3" spans="1:52" s="5" customFormat="1" ht="15" customHeight="1">
      <c r="A3" s="49"/>
      <c r="B3" s="59" t="s">
        <v>195</v>
      </c>
      <c r="C3" s="59" t="s">
        <v>196</v>
      </c>
      <c r="D3" s="59" t="s">
        <v>197</v>
      </c>
      <c r="E3" s="59" t="s">
        <v>198</v>
      </c>
      <c r="F3" s="59" t="s">
        <v>199</v>
      </c>
      <c r="G3" s="59" t="s">
        <v>200</v>
      </c>
      <c r="H3" s="59" t="s">
        <v>201</v>
      </c>
      <c r="I3" s="59" t="s">
        <v>202</v>
      </c>
      <c r="J3" s="59" t="s">
        <v>203</v>
      </c>
      <c r="K3" s="59" t="s">
        <v>204</v>
      </c>
      <c r="L3" s="59" t="s">
        <v>205</v>
      </c>
      <c r="M3" s="59" t="s">
        <v>206</v>
      </c>
      <c r="N3" s="59" t="s">
        <v>207</v>
      </c>
      <c r="O3" s="59" t="s">
        <v>208</v>
      </c>
      <c r="P3" s="59" t="s">
        <v>209</v>
      </c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</row>
    <row r="4" spans="1:52" ht="15" customHeight="1">
      <c r="B4" s="153" t="s">
        <v>240</v>
      </c>
      <c r="C4" s="153" t="s">
        <v>211</v>
      </c>
      <c r="D4" s="153" t="s">
        <v>278</v>
      </c>
      <c r="E4" s="153" t="s">
        <v>278</v>
      </c>
      <c r="F4" s="58" t="s">
        <v>212</v>
      </c>
      <c r="G4" s="58" t="s">
        <v>216</v>
      </c>
      <c r="H4" s="58" t="s">
        <v>216</v>
      </c>
      <c r="I4" s="58" t="s">
        <v>271</v>
      </c>
      <c r="J4" s="58"/>
      <c r="K4" s="58"/>
      <c r="L4" s="58" t="s">
        <v>212</v>
      </c>
      <c r="M4" s="58"/>
      <c r="N4" s="58"/>
      <c r="O4" s="58"/>
      <c r="P4" s="58"/>
    </row>
    <row r="5" spans="1:52" ht="15" customHeight="1">
      <c r="B5" s="153"/>
      <c r="C5" s="153"/>
      <c r="D5" s="153"/>
      <c r="E5" s="153"/>
      <c r="F5" s="58" t="s">
        <v>286</v>
      </c>
      <c r="G5" s="58" t="s">
        <v>241</v>
      </c>
      <c r="H5" s="58" t="s">
        <v>241</v>
      </c>
      <c r="I5" s="58" t="s">
        <v>279</v>
      </c>
      <c r="J5" s="58"/>
      <c r="K5" s="58" t="s">
        <v>215</v>
      </c>
      <c r="L5" s="58"/>
      <c r="M5" s="58"/>
      <c r="N5" s="58"/>
      <c r="O5" s="58"/>
      <c r="P5" s="58"/>
    </row>
    <row r="6" spans="1:52" ht="15" customHeight="1">
      <c r="B6" s="153"/>
      <c r="C6" s="153"/>
      <c r="D6" s="153"/>
      <c r="E6" s="153"/>
      <c r="F6" s="58" t="s">
        <v>287</v>
      </c>
      <c r="G6" s="58" t="s">
        <v>233</v>
      </c>
      <c r="H6" s="58" t="s">
        <v>233</v>
      </c>
      <c r="I6" s="58" t="s">
        <v>214</v>
      </c>
      <c r="J6" s="58"/>
      <c r="K6" s="58" t="s">
        <v>215</v>
      </c>
      <c r="L6" s="58"/>
      <c r="M6" s="58"/>
      <c r="N6" s="58"/>
      <c r="O6" s="58"/>
      <c r="P6" s="58"/>
    </row>
    <row r="7" spans="1:52" ht="15" customHeight="1">
      <c r="B7" s="153"/>
      <c r="C7" s="153"/>
      <c r="D7" s="153"/>
      <c r="E7" s="153"/>
      <c r="F7" s="58" t="s">
        <v>288</v>
      </c>
      <c r="G7" s="58" t="s">
        <v>231</v>
      </c>
      <c r="H7" s="58" t="s">
        <v>231</v>
      </c>
      <c r="I7" s="58" t="s">
        <v>214</v>
      </c>
      <c r="J7" s="58"/>
      <c r="K7" s="58"/>
      <c r="L7" s="58"/>
      <c r="M7" s="58"/>
      <c r="N7" s="58"/>
      <c r="O7" s="58"/>
      <c r="P7" s="58"/>
    </row>
    <row r="8" spans="1:52" ht="15" customHeight="1">
      <c r="B8" s="153"/>
      <c r="C8" s="153"/>
      <c r="D8" s="153"/>
      <c r="E8" s="153"/>
      <c r="F8" s="58" t="s">
        <v>289</v>
      </c>
      <c r="G8" s="58" t="s">
        <v>280</v>
      </c>
      <c r="H8" s="58" t="s">
        <v>280</v>
      </c>
      <c r="I8" s="58" t="s">
        <v>214</v>
      </c>
      <c r="J8" s="58"/>
      <c r="K8" s="58"/>
      <c r="L8" s="58"/>
      <c r="M8" s="58"/>
      <c r="N8" s="58"/>
      <c r="O8" s="58"/>
      <c r="P8" s="58"/>
    </row>
    <row r="9" spans="1:52" ht="15" customHeight="1">
      <c r="B9" s="153"/>
      <c r="C9" s="153"/>
      <c r="D9" s="153"/>
      <c r="E9" s="153"/>
      <c r="F9" s="58" t="s">
        <v>290</v>
      </c>
      <c r="G9" s="58" t="s">
        <v>242</v>
      </c>
      <c r="H9" s="58" t="s">
        <v>242</v>
      </c>
      <c r="I9" s="58" t="s">
        <v>214</v>
      </c>
      <c r="J9" s="58"/>
      <c r="K9" s="58"/>
      <c r="L9" s="58"/>
      <c r="M9" s="58"/>
      <c r="N9" s="58"/>
      <c r="O9" s="58"/>
      <c r="P9" s="58"/>
    </row>
    <row r="10" spans="1:52" ht="15" customHeight="1">
      <c r="B10" s="153"/>
      <c r="C10" s="153"/>
      <c r="D10" s="153"/>
      <c r="E10" s="153"/>
      <c r="F10" s="58" t="s">
        <v>291</v>
      </c>
      <c r="G10" s="58" t="s">
        <v>243</v>
      </c>
      <c r="H10" s="58" t="s">
        <v>243</v>
      </c>
      <c r="I10" s="58" t="s">
        <v>214</v>
      </c>
      <c r="J10" s="58"/>
      <c r="K10" s="58"/>
      <c r="L10" s="58"/>
      <c r="M10" s="58"/>
      <c r="N10" s="58"/>
      <c r="O10" s="58"/>
      <c r="P10" s="58"/>
    </row>
    <row r="11" spans="1:52" ht="15" customHeight="1">
      <c r="B11" s="153"/>
      <c r="C11" s="153"/>
      <c r="D11" s="153"/>
      <c r="E11" s="153"/>
      <c r="F11" s="58" t="s">
        <v>292</v>
      </c>
      <c r="G11" s="58" t="s">
        <v>244</v>
      </c>
      <c r="H11" s="58" t="s">
        <v>244</v>
      </c>
      <c r="I11" s="58" t="s">
        <v>214</v>
      </c>
      <c r="J11" s="58"/>
      <c r="K11" s="58"/>
      <c r="L11" s="58"/>
      <c r="M11" s="58"/>
      <c r="N11" s="58"/>
      <c r="O11" s="58"/>
      <c r="P11" s="58"/>
    </row>
    <row r="12" spans="1:52" ht="15" customHeight="1">
      <c r="B12" s="153"/>
      <c r="C12" s="153"/>
      <c r="D12" s="153"/>
      <c r="E12" s="153"/>
      <c r="F12" s="58" t="s">
        <v>293</v>
      </c>
      <c r="G12" s="58" t="s">
        <v>230</v>
      </c>
      <c r="H12" s="58" t="s">
        <v>230</v>
      </c>
      <c r="I12" s="58" t="s">
        <v>214</v>
      </c>
      <c r="J12" s="58"/>
      <c r="K12" s="58"/>
      <c r="L12" s="58"/>
      <c r="M12" s="58"/>
      <c r="N12" s="58"/>
      <c r="O12" s="58"/>
      <c r="P12" s="58"/>
    </row>
    <row r="13" spans="1:52" ht="15" customHeight="1">
      <c r="B13" s="153"/>
      <c r="C13" s="153"/>
      <c r="D13" s="153"/>
      <c r="E13" s="153"/>
      <c r="F13" s="58" t="s">
        <v>294</v>
      </c>
      <c r="G13" s="58" t="s">
        <v>245</v>
      </c>
      <c r="H13" s="58" t="s">
        <v>245</v>
      </c>
      <c r="I13" s="58" t="s">
        <v>214</v>
      </c>
      <c r="J13" s="58"/>
      <c r="K13" s="58"/>
      <c r="L13" s="58"/>
      <c r="M13" s="58"/>
      <c r="N13" s="58"/>
      <c r="O13" s="58"/>
      <c r="P13" s="58"/>
    </row>
    <row r="14" spans="1:52" ht="15" customHeight="1">
      <c r="B14" s="153"/>
      <c r="C14" s="153"/>
      <c r="D14" s="153"/>
      <c r="E14" s="153"/>
      <c r="F14" s="58" t="s">
        <v>295</v>
      </c>
      <c r="G14" s="58" t="s">
        <v>246</v>
      </c>
      <c r="H14" s="58" t="s">
        <v>246</v>
      </c>
      <c r="I14" s="58" t="s">
        <v>214</v>
      </c>
      <c r="J14" s="58"/>
      <c r="K14" s="58"/>
      <c r="L14" s="58"/>
      <c r="M14" s="58"/>
      <c r="N14" s="58"/>
      <c r="O14" s="58"/>
      <c r="P14" s="58"/>
    </row>
    <row r="15" spans="1:52" ht="15" customHeight="1">
      <c r="B15" s="153"/>
      <c r="C15" s="153"/>
      <c r="D15" s="153"/>
      <c r="E15" s="153"/>
      <c r="F15" s="58" t="s">
        <v>296</v>
      </c>
      <c r="G15" s="58" t="s">
        <v>229</v>
      </c>
      <c r="H15" s="58" t="s">
        <v>229</v>
      </c>
      <c r="I15" s="58" t="s">
        <v>214</v>
      </c>
      <c r="J15" s="58"/>
      <c r="K15" s="58"/>
      <c r="L15" s="58"/>
      <c r="M15" s="58"/>
      <c r="N15" s="58"/>
      <c r="O15" s="58"/>
      <c r="P15" s="58"/>
    </row>
    <row r="16" spans="1:52" ht="15" customHeight="1">
      <c r="B16" s="153"/>
      <c r="C16" s="153"/>
      <c r="D16" s="153"/>
      <c r="E16" s="153"/>
      <c r="F16" s="58" t="s">
        <v>297</v>
      </c>
      <c r="G16" s="58" t="s">
        <v>247</v>
      </c>
      <c r="H16" s="58" t="s">
        <v>247</v>
      </c>
      <c r="I16" s="58" t="s">
        <v>214</v>
      </c>
      <c r="J16" s="58"/>
      <c r="K16" s="58"/>
      <c r="L16" s="58"/>
      <c r="M16" s="58"/>
      <c r="N16" s="58"/>
      <c r="O16" s="58"/>
      <c r="P16" s="58"/>
    </row>
    <row r="17" spans="2:16" ht="15" customHeight="1">
      <c r="B17" s="153"/>
      <c r="C17" s="153"/>
      <c r="D17" s="153"/>
      <c r="E17" s="153"/>
      <c r="F17" s="58" t="s">
        <v>298</v>
      </c>
      <c r="G17" s="58" t="s">
        <v>248</v>
      </c>
      <c r="H17" s="58" t="s">
        <v>248</v>
      </c>
      <c r="I17" s="58" t="s">
        <v>214</v>
      </c>
      <c r="J17" s="58"/>
      <c r="K17" s="58"/>
      <c r="L17" s="58"/>
      <c r="M17" s="58"/>
      <c r="N17" s="58"/>
      <c r="O17" s="58"/>
      <c r="P17" s="58"/>
    </row>
    <row r="18" spans="2:16" ht="15" customHeight="1">
      <c r="B18" s="153"/>
      <c r="C18" s="153"/>
      <c r="D18" s="153"/>
      <c r="E18" s="153"/>
      <c r="F18" s="58" t="s">
        <v>299</v>
      </c>
      <c r="G18" s="58" t="s">
        <v>249</v>
      </c>
      <c r="H18" s="58" t="s">
        <v>249</v>
      </c>
      <c r="I18" s="58" t="s">
        <v>214</v>
      </c>
      <c r="J18" s="58"/>
      <c r="K18" s="58"/>
      <c r="L18" s="58"/>
      <c r="M18" s="58"/>
      <c r="N18" s="58"/>
      <c r="O18" s="58"/>
      <c r="P18" s="58"/>
    </row>
    <row r="19" spans="2:16" ht="15" customHeight="1">
      <c r="B19" s="153"/>
      <c r="C19" s="153"/>
      <c r="D19" s="153"/>
      <c r="E19" s="153"/>
      <c r="F19" s="58" t="s">
        <v>300</v>
      </c>
      <c r="G19" s="58" t="s">
        <v>250</v>
      </c>
      <c r="H19" s="58" t="s">
        <v>250</v>
      </c>
      <c r="I19" s="58" t="s">
        <v>214</v>
      </c>
      <c r="J19" s="58"/>
      <c r="K19" s="58"/>
      <c r="L19" s="58"/>
      <c r="M19" s="58"/>
      <c r="N19" s="58"/>
      <c r="O19" s="58"/>
      <c r="P19" s="58"/>
    </row>
    <row r="20" spans="2:16" ht="15" customHeight="1">
      <c r="B20" s="153"/>
      <c r="C20" s="153"/>
      <c r="D20" s="153"/>
      <c r="E20" s="153"/>
      <c r="F20" s="58" t="s">
        <v>301</v>
      </c>
      <c r="G20" s="58" t="s">
        <v>251</v>
      </c>
      <c r="H20" s="58" t="s">
        <v>251</v>
      </c>
      <c r="I20" s="58" t="s">
        <v>214</v>
      </c>
      <c r="J20" s="58"/>
      <c r="K20" s="58"/>
      <c r="L20" s="58"/>
      <c r="M20" s="58"/>
      <c r="N20" s="58"/>
      <c r="O20" s="58"/>
      <c r="P20" s="58"/>
    </row>
    <row r="21" spans="2:16" ht="15" customHeight="1">
      <c r="B21" s="153"/>
      <c r="C21" s="153"/>
      <c r="D21" s="153"/>
      <c r="E21" s="153"/>
      <c r="F21" s="58" t="s">
        <v>302</v>
      </c>
      <c r="G21" s="58" t="s">
        <v>252</v>
      </c>
      <c r="H21" s="58" t="s">
        <v>252</v>
      </c>
      <c r="I21" s="58" t="s">
        <v>214</v>
      </c>
      <c r="J21" s="58"/>
      <c r="K21" s="58" t="s">
        <v>215</v>
      </c>
      <c r="L21" s="58"/>
      <c r="M21" s="58"/>
      <c r="N21" s="58"/>
      <c r="O21" s="58"/>
      <c r="P21" s="58"/>
    </row>
    <row r="22" spans="2:16" ht="15" customHeight="1">
      <c r="B22" s="153"/>
      <c r="C22" s="153"/>
      <c r="D22" s="153"/>
      <c r="E22" s="153"/>
      <c r="F22" s="58" t="s">
        <v>303</v>
      </c>
      <c r="G22" s="58" t="s">
        <v>253</v>
      </c>
      <c r="H22" s="58" t="s">
        <v>253</v>
      </c>
      <c r="I22" s="58" t="s">
        <v>214</v>
      </c>
      <c r="J22" s="58"/>
      <c r="K22" s="58" t="s">
        <v>215</v>
      </c>
      <c r="L22" s="58"/>
      <c r="M22" s="58"/>
      <c r="N22" s="58"/>
      <c r="O22" s="58"/>
      <c r="P22" s="58"/>
    </row>
    <row r="23" spans="2:16" ht="15" customHeight="1">
      <c r="B23" s="153"/>
      <c r="C23" s="153"/>
      <c r="D23" s="153"/>
      <c r="E23" s="153"/>
      <c r="F23" s="58" t="s">
        <v>304</v>
      </c>
      <c r="G23" s="58" t="s">
        <v>254</v>
      </c>
      <c r="H23" s="58" t="s">
        <v>254</v>
      </c>
      <c r="I23" s="58" t="s">
        <v>214</v>
      </c>
      <c r="J23" s="58"/>
      <c r="K23" s="58" t="s">
        <v>215</v>
      </c>
      <c r="L23" s="58"/>
      <c r="M23" s="58"/>
      <c r="N23" s="58"/>
      <c r="O23" s="58"/>
      <c r="P23" s="58"/>
    </row>
    <row r="24" spans="2:16" ht="15" customHeight="1">
      <c r="B24" s="153"/>
      <c r="C24" s="153"/>
      <c r="D24" s="153"/>
      <c r="E24" s="153"/>
      <c r="F24" s="58" t="s">
        <v>305</v>
      </c>
      <c r="G24" s="58" t="s">
        <v>255</v>
      </c>
      <c r="H24" s="58" t="s">
        <v>255</v>
      </c>
      <c r="I24" s="58" t="s">
        <v>214</v>
      </c>
      <c r="J24" s="58"/>
      <c r="K24" s="58" t="s">
        <v>215</v>
      </c>
      <c r="L24" s="58"/>
      <c r="M24" s="58"/>
      <c r="N24" s="58"/>
      <c r="O24" s="58"/>
      <c r="P24" s="58"/>
    </row>
    <row r="25" spans="2:16" ht="15" customHeight="1">
      <c r="B25" s="153"/>
      <c r="C25" s="153"/>
      <c r="D25" s="153"/>
      <c r="E25" s="153"/>
      <c r="F25" s="58" t="s">
        <v>306</v>
      </c>
      <c r="G25" s="58" t="s">
        <v>256</v>
      </c>
      <c r="H25" s="58" t="s">
        <v>256</v>
      </c>
      <c r="I25" s="58" t="s">
        <v>214</v>
      </c>
      <c r="J25" s="58"/>
      <c r="K25" s="58"/>
      <c r="L25" s="58"/>
      <c r="M25" s="58"/>
      <c r="N25" s="58"/>
      <c r="O25" s="58"/>
      <c r="P25" s="58"/>
    </row>
    <row r="26" spans="2:16" ht="15" customHeight="1">
      <c r="B26" s="153"/>
      <c r="C26" s="153"/>
      <c r="D26" s="153"/>
      <c r="E26" s="153"/>
      <c r="F26" s="58" t="s">
        <v>307</v>
      </c>
      <c r="G26" s="58" t="s">
        <v>257</v>
      </c>
      <c r="H26" s="58" t="s">
        <v>257</v>
      </c>
      <c r="I26" s="58" t="s">
        <v>224</v>
      </c>
      <c r="J26" s="58"/>
      <c r="K26" s="58" t="s">
        <v>215</v>
      </c>
      <c r="L26" s="58"/>
      <c r="M26" s="58"/>
      <c r="N26" s="58"/>
      <c r="O26" s="58"/>
      <c r="P26" s="58"/>
    </row>
    <row r="27" spans="2:16" ht="15" customHeight="1">
      <c r="B27" s="153"/>
      <c r="C27" s="153"/>
      <c r="D27" s="153"/>
      <c r="E27" s="153"/>
      <c r="F27" s="58" t="s">
        <v>308</v>
      </c>
      <c r="G27" s="58" t="s">
        <v>258</v>
      </c>
      <c r="H27" s="58" t="s">
        <v>258</v>
      </c>
      <c r="I27" s="58" t="s">
        <v>224</v>
      </c>
      <c r="J27" s="58"/>
      <c r="K27" s="58"/>
      <c r="L27" s="58"/>
      <c r="M27" s="58"/>
      <c r="N27" s="58"/>
      <c r="O27" s="58"/>
      <c r="P27" s="58"/>
    </row>
    <row r="28" spans="2:16" ht="15" customHeight="1">
      <c r="B28" s="153"/>
      <c r="C28" s="153"/>
      <c r="D28" s="153"/>
      <c r="E28" s="153"/>
      <c r="F28" s="58" t="s">
        <v>309</v>
      </c>
      <c r="G28" s="58" t="s">
        <v>281</v>
      </c>
      <c r="H28" s="58" t="s">
        <v>281</v>
      </c>
      <c r="I28" s="58" t="s">
        <v>214</v>
      </c>
      <c r="J28" s="58"/>
      <c r="K28" s="58" t="s">
        <v>215</v>
      </c>
      <c r="L28" s="58"/>
      <c r="M28" s="58"/>
      <c r="N28" s="58"/>
      <c r="O28" s="58"/>
      <c r="P28" s="58"/>
    </row>
    <row r="29" spans="2:16" ht="15" customHeight="1">
      <c r="B29" s="153"/>
      <c r="C29" s="153"/>
      <c r="D29" s="153"/>
      <c r="E29" s="153"/>
      <c r="F29" s="58" t="s">
        <v>310</v>
      </c>
      <c r="G29" s="58" t="s">
        <v>259</v>
      </c>
      <c r="H29" s="58" t="s">
        <v>259</v>
      </c>
      <c r="I29" s="58" t="s">
        <v>214</v>
      </c>
      <c r="J29" s="58"/>
      <c r="K29" s="58"/>
      <c r="L29" s="58"/>
      <c r="M29" s="58"/>
      <c r="N29" s="58"/>
      <c r="O29" s="58"/>
      <c r="P29" s="58"/>
    </row>
    <row r="30" spans="2:16" ht="15" customHeight="1">
      <c r="B30" s="153"/>
      <c r="C30" s="153"/>
      <c r="D30" s="153"/>
      <c r="E30" s="153"/>
      <c r="F30" s="58" t="s">
        <v>311</v>
      </c>
      <c r="G30" s="58" t="s">
        <v>260</v>
      </c>
      <c r="H30" s="58" t="s">
        <v>260</v>
      </c>
      <c r="I30" s="58" t="s">
        <v>214</v>
      </c>
      <c r="J30" s="58"/>
      <c r="K30" s="58"/>
      <c r="L30" s="58"/>
      <c r="M30" s="58"/>
      <c r="N30" s="58"/>
      <c r="O30" s="58"/>
      <c r="P30" s="58"/>
    </row>
    <row r="31" spans="2:16" ht="15" customHeight="1">
      <c r="B31" s="153"/>
      <c r="C31" s="153"/>
      <c r="D31" s="153"/>
      <c r="E31" s="153"/>
      <c r="F31" s="58" t="s">
        <v>312</v>
      </c>
      <c r="G31" s="58" t="s">
        <v>282</v>
      </c>
      <c r="H31" s="58" t="s">
        <v>282</v>
      </c>
      <c r="I31" s="58" t="s">
        <v>214</v>
      </c>
      <c r="J31" s="58"/>
      <c r="K31" s="58" t="s">
        <v>215</v>
      </c>
      <c r="L31" s="58"/>
      <c r="M31" s="58"/>
      <c r="N31" s="58"/>
      <c r="O31" s="58"/>
      <c r="P31" s="58"/>
    </row>
    <row r="32" spans="2:16" ht="15" customHeight="1">
      <c r="B32" s="153"/>
      <c r="C32" s="153"/>
      <c r="D32" s="153"/>
      <c r="E32" s="153"/>
      <c r="F32" s="58" t="s">
        <v>313</v>
      </c>
      <c r="G32" s="58" t="s">
        <v>261</v>
      </c>
      <c r="H32" s="58" t="s">
        <v>261</v>
      </c>
      <c r="I32" s="58" t="s">
        <v>214</v>
      </c>
      <c r="J32" s="58"/>
      <c r="K32" s="58"/>
      <c r="L32" s="58"/>
      <c r="M32" s="58"/>
      <c r="N32" s="58"/>
      <c r="O32" s="58"/>
      <c r="P32" s="58"/>
    </row>
    <row r="33" spans="1:51" ht="15" customHeight="1">
      <c r="B33" s="153"/>
      <c r="C33" s="153"/>
      <c r="D33" s="153"/>
      <c r="E33" s="153"/>
      <c r="F33" s="58" t="s">
        <v>314</v>
      </c>
      <c r="G33" s="58" t="s">
        <v>262</v>
      </c>
      <c r="H33" s="58" t="s">
        <v>262</v>
      </c>
      <c r="I33" s="58" t="s">
        <v>214</v>
      </c>
      <c r="J33" s="58"/>
      <c r="K33" s="58"/>
      <c r="L33" s="58"/>
      <c r="M33" s="58"/>
      <c r="N33" s="58"/>
      <c r="O33" s="58"/>
      <c r="P33" s="58"/>
    </row>
    <row r="34" spans="1:51" ht="15" customHeight="1">
      <c r="B34" s="153"/>
      <c r="C34" s="153"/>
      <c r="D34" s="153"/>
      <c r="E34" s="153"/>
      <c r="F34" s="58" t="s">
        <v>315</v>
      </c>
      <c r="G34" s="58" t="s">
        <v>222</v>
      </c>
      <c r="H34" s="58" t="s">
        <v>222</v>
      </c>
      <c r="I34" s="58" t="s">
        <v>263</v>
      </c>
      <c r="J34" s="58"/>
      <c r="K34" s="58" t="s">
        <v>215</v>
      </c>
      <c r="L34" s="58"/>
      <c r="M34" s="58"/>
      <c r="N34" s="58"/>
      <c r="O34" s="58"/>
      <c r="P34" s="58"/>
    </row>
    <row r="35" spans="1:51" ht="15" customHeight="1">
      <c r="B35" s="153"/>
      <c r="C35" s="153"/>
      <c r="D35" s="153"/>
      <c r="E35" s="153"/>
      <c r="F35" s="58" t="s">
        <v>316</v>
      </c>
      <c r="G35" s="58" t="s">
        <v>264</v>
      </c>
      <c r="H35" s="58" t="s">
        <v>264</v>
      </c>
      <c r="I35" s="58" t="s">
        <v>279</v>
      </c>
      <c r="J35" s="58"/>
      <c r="K35" s="58" t="s">
        <v>215</v>
      </c>
      <c r="L35" s="58"/>
      <c r="M35" s="58"/>
      <c r="N35" s="58"/>
      <c r="O35" s="58"/>
      <c r="P35" s="58"/>
    </row>
    <row r="36" spans="1:51" ht="15" customHeight="1">
      <c r="B36" s="153"/>
      <c r="C36" s="153"/>
      <c r="D36" s="153"/>
      <c r="E36" s="153"/>
      <c r="F36" s="58" t="s">
        <v>317</v>
      </c>
      <c r="G36" s="58" t="s">
        <v>265</v>
      </c>
      <c r="H36" s="58" t="s">
        <v>265</v>
      </c>
      <c r="I36" s="58" t="s">
        <v>279</v>
      </c>
      <c r="J36" s="58"/>
      <c r="K36" s="58"/>
      <c r="L36" s="58"/>
      <c r="M36" s="58"/>
      <c r="N36" s="58"/>
      <c r="O36" s="58"/>
      <c r="P36" s="58"/>
    </row>
    <row r="37" spans="1:51" ht="15" customHeight="1">
      <c r="B37" s="153"/>
      <c r="C37" s="153"/>
      <c r="D37" s="153"/>
      <c r="E37" s="153"/>
      <c r="F37" s="58" t="s">
        <v>318</v>
      </c>
      <c r="G37" s="58" t="s">
        <v>266</v>
      </c>
      <c r="H37" s="58" t="s">
        <v>266</v>
      </c>
      <c r="I37" s="58" t="s">
        <v>279</v>
      </c>
      <c r="J37" s="58"/>
      <c r="K37" s="58" t="s">
        <v>215</v>
      </c>
      <c r="L37" s="58"/>
      <c r="M37" s="58"/>
      <c r="N37" s="58"/>
      <c r="O37" s="58"/>
      <c r="P37" s="58"/>
    </row>
    <row r="38" spans="1:51" ht="15" customHeight="1">
      <c r="B38" s="153"/>
      <c r="C38" s="153"/>
      <c r="D38" s="153"/>
      <c r="E38" s="153"/>
      <c r="F38" s="58" t="s">
        <v>319</v>
      </c>
      <c r="G38" s="58" t="s">
        <v>267</v>
      </c>
      <c r="H38" s="58" t="s">
        <v>267</v>
      </c>
      <c r="I38" s="58" t="s">
        <v>279</v>
      </c>
      <c r="J38" s="58"/>
      <c r="K38" s="58"/>
      <c r="L38" s="58"/>
      <c r="M38" s="58"/>
      <c r="N38" s="58"/>
      <c r="O38" s="58"/>
      <c r="P38" s="58"/>
    </row>
    <row r="39" spans="1:51" ht="15" customHeight="1">
      <c r="B39" s="153"/>
      <c r="C39" s="153"/>
      <c r="D39" s="153"/>
      <c r="E39" s="153"/>
      <c r="F39" s="58" t="s">
        <v>320</v>
      </c>
      <c r="G39" s="58" t="s">
        <v>283</v>
      </c>
      <c r="H39" s="58" t="s">
        <v>283</v>
      </c>
      <c r="I39" s="58" t="s">
        <v>236</v>
      </c>
      <c r="J39" s="58"/>
      <c r="K39" s="58"/>
      <c r="L39" s="58"/>
      <c r="M39" s="58"/>
      <c r="N39" s="58"/>
      <c r="O39" s="58"/>
      <c r="P39" s="58"/>
    </row>
    <row r="40" spans="1:51" ht="15" customHeight="1">
      <c r="B40" s="153"/>
      <c r="C40" s="153"/>
      <c r="D40" s="153"/>
      <c r="E40" s="153"/>
      <c r="F40" s="58" t="s">
        <v>321</v>
      </c>
      <c r="G40" s="58" t="s">
        <v>284</v>
      </c>
      <c r="H40" s="58" t="s">
        <v>284</v>
      </c>
      <c r="I40" s="58" t="s">
        <v>226</v>
      </c>
      <c r="J40" s="58"/>
      <c r="K40" s="58"/>
      <c r="L40" s="58"/>
      <c r="M40" s="58"/>
      <c r="N40" s="58"/>
      <c r="O40" s="58"/>
      <c r="P40" s="58"/>
    </row>
    <row r="41" spans="1:51" ht="15" customHeight="1">
      <c r="B41" s="153"/>
      <c r="C41" s="153"/>
      <c r="D41" s="153"/>
      <c r="E41" s="153"/>
      <c r="F41" s="58" t="s">
        <v>322</v>
      </c>
      <c r="G41" s="58" t="s">
        <v>269</v>
      </c>
      <c r="H41" s="58" t="s">
        <v>269</v>
      </c>
      <c r="I41" s="58" t="s">
        <v>270</v>
      </c>
      <c r="J41" s="58"/>
      <c r="K41" s="58"/>
      <c r="L41" s="58"/>
      <c r="M41" s="58"/>
      <c r="N41" s="58"/>
      <c r="O41" s="58"/>
      <c r="P41" s="58"/>
    </row>
    <row r="42" spans="1:51" ht="15" customHeight="1">
      <c r="B42" s="153"/>
      <c r="C42" s="153"/>
      <c r="D42" s="153"/>
      <c r="E42" s="153"/>
      <c r="F42" s="58" t="s">
        <v>323</v>
      </c>
      <c r="G42" s="58" t="s">
        <v>227</v>
      </c>
      <c r="H42" s="58" t="s">
        <v>227</v>
      </c>
      <c r="I42" s="58" t="s">
        <v>228</v>
      </c>
      <c r="J42" s="58"/>
      <c r="K42" s="58"/>
      <c r="L42" s="58"/>
      <c r="M42" s="58"/>
      <c r="N42" s="58"/>
      <c r="O42" s="58"/>
      <c r="P42" s="58"/>
    </row>
    <row r="43" spans="1:51" ht="15" customHeight="1">
      <c r="B43" s="153"/>
      <c r="C43" s="153"/>
      <c r="D43" s="153"/>
      <c r="E43" s="153"/>
      <c r="F43" s="58" t="s">
        <v>324</v>
      </c>
      <c r="G43" s="58" t="s">
        <v>285</v>
      </c>
      <c r="H43" s="58" t="s">
        <v>285</v>
      </c>
      <c r="I43" s="58" t="s">
        <v>285</v>
      </c>
      <c r="J43" s="58"/>
      <c r="K43" s="58"/>
      <c r="L43" s="58"/>
      <c r="M43" s="58"/>
      <c r="N43" s="58"/>
      <c r="O43" s="58"/>
      <c r="P43" s="58"/>
    </row>
    <row r="44" spans="1:51" ht="15" customHeight="1">
      <c r="B44" s="153"/>
      <c r="C44" s="153"/>
      <c r="D44" s="153"/>
      <c r="E44" s="153"/>
      <c r="F44" s="58" t="s">
        <v>325</v>
      </c>
      <c r="G44" s="58" t="s">
        <v>268</v>
      </c>
      <c r="H44" s="58" t="s">
        <v>268</v>
      </c>
      <c r="I44" s="58" t="s">
        <v>268</v>
      </c>
      <c r="J44" s="58"/>
      <c r="K44" s="58"/>
      <c r="L44" s="58"/>
      <c r="M44" s="58"/>
      <c r="N44" s="58"/>
      <c r="O44" s="58"/>
      <c r="P44" s="58"/>
    </row>
    <row r="45" spans="1:51" ht="15" customHeight="1">
      <c r="A45" s="52"/>
      <c r="B45" s="153" t="s">
        <v>210</v>
      </c>
      <c r="C45" s="153" t="s">
        <v>211</v>
      </c>
      <c r="D45" s="153" t="s">
        <v>237</v>
      </c>
      <c r="E45" s="153" t="s">
        <v>237</v>
      </c>
      <c r="F45" s="58" t="s">
        <v>212</v>
      </c>
      <c r="G45" s="58" t="s">
        <v>213</v>
      </c>
      <c r="H45" s="58" t="s">
        <v>213</v>
      </c>
      <c r="I45" s="58" t="s">
        <v>214</v>
      </c>
      <c r="J45" s="58"/>
      <c r="K45" s="58" t="s">
        <v>215</v>
      </c>
      <c r="L45" s="58"/>
      <c r="M45" s="58"/>
      <c r="N45" s="58"/>
      <c r="O45" s="58"/>
      <c r="P45" s="58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</row>
    <row r="46" spans="1:51" ht="15" customHeight="1">
      <c r="A46" s="52"/>
      <c r="B46" s="153"/>
      <c r="C46" s="153"/>
      <c r="D46" s="153"/>
      <c r="E46" s="153"/>
      <c r="F46" s="58" t="s">
        <v>286</v>
      </c>
      <c r="G46" s="58" t="s">
        <v>216</v>
      </c>
      <c r="H46" s="58" t="s">
        <v>216</v>
      </c>
      <c r="I46" s="58" t="s">
        <v>217</v>
      </c>
      <c r="J46" s="58"/>
      <c r="K46" s="58"/>
      <c r="L46" s="58" t="s">
        <v>212</v>
      </c>
      <c r="M46" s="58" t="s">
        <v>215</v>
      </c>
      <c r="N46" s="58" t="s">
        <v>238</v>
      </c>
      <c r="O46" s="58"/>
      <c r="P46" s="58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</row>
    <row r="47" spans="1:51" ht="15" customHeight="1">
      <c r="A47" s="52"/>
      <c r="B47" s="153"/>
      <c r="C47" s="153"/>
      <c r="D47" s="153"/>
      <c r="E47" s="153"/>
      <c r="F47" s="58" t="s">
        <v>287</v>
      </c>
      <c r="G47" s="58" t="s">
        <v>218</v>
      </c>
      <c r="H47" s="58" t="s">
        <v>218</v>
      </c>
      <c r="I47" s="58" t="s">
        <v>214</v>
      </c>
      <c r="J47" s="58"/>
      <c r="K47" s="58"/>
      <c r="L47" s="58"/>
      <c r="M47" s="58"/>
      <c r="N47" s="58"/>
      <c r="O47" s="58"/>
      <c r="P47" s="58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</row>
    <row r="48" spans="1:51" ht="15" customHeight="1">
      <c r="A48" s="52"/>
      <c r="B48" s="153"/>
      <c r="C48" s="153"/>
      <c r="D48" s="153"/>
      <c r="E48" s="153"/>
      <c r="F48" s="58" t="s">
        <v>288</v>
      </c>
      <c r="G48" s="58" t="s">
        <v>219</v>
      </c>
      <c r="H48" s="58" t="s">
        <v>219</v>
      </c>
      <c r="I48" s="58" t="s">
        <v>220</v>
      </c>
      <c r="J48" s="58"/>
      <c r="K48" s="58"/>
      <c r="L48" s="58"/>
      <c r="M48" s="58"/>
      <c r="N48" s="58"/>
      <c r="O48" s="58"/>
      <c r="P48" s="58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</row>
    <row r="49" spans="1:62" ht="15" customHeight="1">
      <c r="A49" s="52"/>
      <c r="B49" s="153"/>
      <c r="C49" s="153"/>
      <c r="D49" s="153"/>
      <c r="E49" s="153"/>
      <c r="F49" s="58" t="s">
        <v>289</v>
      </c>
      <c r="G49" s="58" t="s">
        <v>221</v>
      </c>
      <c r="H49" s="58" t="s">
        <v>221</v>
      </c>
      <c r="I49" s="58" t="s">
        <v>214</v>
      </c>
      <c r="J49" s="58"/>
      <c r="K49" s="58"/>
      <c r="L49" s="58"/>
      <c r="M49" s="58"/>
      <c r="N49" s="58"/>
      <c r="O49" s="58"/>
      <c r="P49" s="58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</row>
    <row r="50" spans="1:62" ht="15" customHeight="1">
      <c r="A50" s="52"/>
      <c r="B50" s="153"/>
      <c r="C50" s="153"/>
      <c r="D50" s="153"/>
      <c r="E50" s="153"/>
      <c r="F50" s="58" t="s">
        <v>290</v>
      </c>
      <c r="G50" s="58" t="s">
        <v>222</v>
      </c>
      <c r="H50" s="58" t="s">
        <v>222</v>
      </c>
      <c r="I50" s="58" t="s">
        <v>214</v>
      </c>
      <c r="J50" s="58"/>
      <c r="K50" s="58"/>
      <c r="L50" s="58"/>
      <c r="M50" s="58"/>
      <c r="N50" s="58"/>
      <c r="O50" s="58"/>
      <c r="P50" s="58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</row>
    <row r="51" spans="1:62" ht="15" customHeight="1">
      <c r="A51" s="52"/>
      <c r="B51" s="153"/>
      <c r="C51" s="153"/>
      <c r="D51" s="153"/>
      <c r="E51" s="153"/>
      <c r="F51" s="58" t="s">
        <v>291</v>
      </c>
      <c r="G51" s="58" t="s">
        <v>223</v>
      </c>
      <c r="H51" s="58" t="s">
        <v>223</v>
      </c>
      <c r="I51" s="58" t="s">
        <v>224</v>
      </c>
      <c r="J51" s="58"/>
      <c r="K51" s="58"/>
      <c r="L51" s="58"/>
      <c r="M51" s="58"/>
      <c r="N51" s="58"/>
      <c r="O51" s="58"/>
      <c r="P51" s="58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</row>
    <row r="52" spans="1:62" s="5" customFormat="1" ht="15" customHeight="1">
      <c r="A52" s="52"/>
      <c r="B52" s="153"/>
      <c r="C52" s="153"/>
      <c r="D52" s="153"/>
      <c r="E52" s="153"/>
      <c r="F52" s="58" t="s">
        <v>292</v>
      </c>
      <c r="G52" s="58" t="s">
        <v>225</v>
      </c>
      <c r="H52" s="58" t="s">
        <v>225</v>
      </c>
      <c r="I52" s="58" t="s">
        <v>226</v>
      </c>
      <c r="J52" s="58"/>
      <c r="K52" s="58"/>
      <c r="L52" s="58"/>
      <c r="M52" s="58"/>
      <c r="N52" s="58"/>
      <c r="O52" s="58"/>
      <c r="P52" s="58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BI52" s="1"/>
      <c r="BJ52" s="1"/>
    </row>
    <row r="53" spans="1:62" ht="15" customHeight="1">
      <c r="A53" s="50"/>
      <c r="B53" s="153"/>
      <c r="C53" s="153"/>
      <c r="D53" s="153"/>
      <c r="E53" s="153"/>
      <c r="F53" s="58" t="s">
        <v>293</v>
      </c>
      <c r="G53" s="58" t="s">
        <v>227</v>
      </c>
      <c r="H53" s="58" t="s">
        <v>227</v>
      </c>
      <c r="I53" s="58" t="s">
        <v>228</v>
      </c>
      <c r="J53" s="58"/>
      <c r="K53" s="58"/>
      <c r="L53" s="58"/>
      <c r="M53" s="58"/>
      <c r="N53" s="58"/>
      <c r="O53" s="58"/>
      <c r="P53" s="58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</row>
    <row r="54" spans="1:62" ht="15" customHeight="1">
      <c r="A54" s="50"/>
      <c r="B54" s="153"/>
      <c r="C54" s="153"/>
      <c r="D54" s="153"/>
      <c r="E54" s="153"/>
      <c r="F54" s="58" t="s">
        <v>294</v>
      </c>
      <c r="G54" s="58" t="s">
        <v>229</v>
      </c>
      <c r="H54" s="58" t="s">
        <v>229</v>
      </c>
      <c r="I54" s="58" t="s">
        <v>214</v>
      </c>
      <c r="J54" s="58"/>
      <c r="K54" s="58"/>
      <c r="L54" s="58"/>
      <c r="M54" s="58"/>
      <c r="N54" s="58"/>
      <c r="O54" s="58"/>
      <c r="P54" s="58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</row>
    <row r="55" spans="1:62" ht="15" customHeight="1">
      <c r="A55" s="50"/>
      <c r="B55" s="153"/>
      <c r="C55" s="153"/>
      <c r="D55" s="153"/>
      <c r="E55" s="153"/>
      <c r="F55" s="58" t="s">
        <v>295</v>
      </c>
      <c r="G55" s="58" t="s">
        <v>230</v>
      </c>
      <c r="H55" s="58" t="s">
        <v>230</v>
      </c>
      <c r="I55" s="58" t="s">
        <v>214</v>
      </c>
      <c r="J55" s="58"/>
      <c r="K55" s="58"/>
      <c r="L55" s="58"/>
      <c r="M55" s="58"/>
      <c r="N55" s="58"/>
      <c r="O55" s="58"/>
      <c r="P55" s="58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</row>
    <row r="56" spans="1:62" ht="15" customHeight="1">
      <c r="A56" s="50"/>
      <c r="B56" s="153"/>
      <c r="C56" s="153"/>
      <c r="D56" s="153"/>
      <c r="E56" s="153"/>
      <c r="F56" s="58" t="s">
        <v>296</v>
      </c>
      <c r="G56" s="58" t="s">
        <v>231</v>
      </c>
      <c r="H56" s="58" t="s">
        <v>231</v>
      </c>
      <c r="I56" s="58" t="s">
        <v>214</v>
      </c>
      <c r="J56" s="58"/>
      <c r="K56" s="58"/>
      <c r="L56" s="58"/>
      <c r="M56" s="58"/>
      <c r="N56" s="58"/>
      <c r="O56" s="58"/>
      <c r="P56" s="58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</row>
    <row r="57" spans="1:62" ht="15" customHeight="1">
      <c r="A57" s="49"/>
      <c r="B57" s="153"/>
      <c r="C57" s="153"/>
      <c r="D57" s="153"/>
      <c r="E57" s="153"/>
      <c r="F57" s="58" t="s">
        <v>297</v>
      </c>
      <c r="G57" s="58" t="s">
        <v>239</v>
      </c>
      <c r="H57" s="58" t="s">
        <v>239</v>
      </c>
      <c r="I57" s="58" t="s">
        <v>214</v>
      </c>
      <c r="J57" s="58"/>
      <c r="K57" s="58"/>
      <c r="L57" s="58"/>
      <c r="M57" s="58"/>
      <c r="N57" s="58"/>
      <c r="O57" s="58"/>
      <c r="P57" s="58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7"/>
    </row>
    <row r="58" spans="1:62" ht="15" customHeight="1">
      <c r="A58" s="49"/>
      <c r="B58" s="153"/>
      <c r="C58" s="153"/>
      <c r="D58" s="153"/>
      <c r="E58" s="153"/>
      <c r="F58" s="58" t="s">
        <v>298</v>
      </c>
      <c r="G58" s="58" t="s">
        <v>232</v>
      </c>
      <c r="H58" s="58" t="s">
        <v>232</v>
      </c>
      <c r="I58" s="58" t="s">
        <v>214</v>
      </c>
      <c r="J58" s="58"/>
      <c r="K58" s="58"/>
      <c r="L58" s="58"/>
      <c r="M58" s="58"/>
      <c r="N58" s="58"/>
      <c r="O58" s="58"/>
      <c r="P58" s="58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4"/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7"/>
    </row>
    <row r="59" spans="1:62" ht="15" customHeight="1">
      <c r="A59" s="50"/>
      <c r="B59" s="153"/>
      <c r="C59" s="153"/>
      <c r="D59" s="153"/>
      <c r="E59" s="153"/>
      <c r="F59" s="58" t="s">
        <v>299</v>
      </c>
      <c r="G59" s="58" t="s">
        <v>233</v>
      </c>
      <c r="H59" s="58" t="s">
        <v>233</v>
      </c>
      <c r="I59" s="58" t="s">
        <v>214</v>
      </c>
      <c r="J59" s="58"/>
      <c r="K59" s="58"/>
      <c r="L59" s="58"/>
      <c r="M59" s="58"/>
      <c r="N59" s="58"/>
      <c r="O59" s="58"/>
      <c r="P59" s="58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</row>
    <row r="60" spans="1:62" ht="15" customHeight="1">
      <c r="A60" s="50"/>
      <c r="B60" s="153" t="s">
        <v>210</v>
      </c>
      <c r="C60" s="153" t="s">
        <v>211</v>
      </c>
      <c r="D60" s="153" t="s">
        <v>234</v>
      </c>
      <c r="E60" s="153" t="s">
        <v>234</v>
      </c>
      <c r="F60" s="58" t="s">
        <v>212</v>
      </c>
      <c r="G60" s="58" t="s">
        <v>213</v>
      </c>
      <c r="H60" s="58" t="s">
        <v>213</v>
      </c>
      <c r="I60" s="58" t="s">
        <v>214</v>
      </c>
      <c r="J60" s="58"/>
      <c r="K60" s="58" t="s">
        <v>215</v>
      </c>
      <c r="L60" s="58"/>
      <c r="M60" s="58"/>
      <c r="N60" s="58"/>
      <c r="O60" s="58"/>
      <c r="P60" s="58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</row>
    <row r="61" spans="1:62" ht="15" customHeight="1">
      <c r="A61" s="50"/>
      <c r="B61" s="153"/>
      <c r="C61" s="153"/>
      <c r="D61" s="153"/>
      <c r="E61" s="153"/>
      <c r="F61" s="58" t="s">
        <v>286</v>
      </c>
      <c r="G61" s="58" t="s">
        <v>216</v>
      </c>
      <c r="H61" s="58" t="s">
        <v>216</v>
      </c>
      <c r="I61" s="58" t="s">
        <v>217</v>
      </c>
      <c r="J61" s="58"/>
      <c r="K61" s="58"/>
      <c r="L61" s="58" t="s">
        <v>212</v>
      </c>
      <c r="M61" s="58" t="s">
        <v>215</v>
      </c>
      <c r="N61" s="58" t="s">
        <v>238</v>
      </c>
      <c r="O61" s="58"/>
      <c r="P61" s="58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</row>
    <row r="62" spans="1:62" ht="15" customHeight="1">
      <c r="A62" s="52"/>
      <c r="B62" s="153"/>
      <c r="C62" s="153"/>
      <c r="D62" s="153"/>
      <c r="E62" s="153"/>
      <c r="F62" s="58" t="s">
        <v>287</v>
      </c>
      <c r="G62" s="58" t="s">
        <v>218</v>
      </c>
      <c r="H62" s="58" t="s">
        <v>218</v>
      </c>
      <c r="I62" s="58" t="s">
        <v>214</v>
      </c>
      <c r="J62" s="58"/>
      <c r="K62" s="58"/>
      <c r="L62" s="58"/>
      <c r="M62" s="58"/>
      <c r="N62" s="58"/>
      <c r="O62" s="58"/>
      <c r="P62" s="58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</row>
    <row r="63" spans="1:62" ht="15" customHeight="1">
      <c r="A63" s="52"/>
      <c r="B63" s="153"/>
      <c r="C63" s="153"/>
      <c r="D63" s="153"/>
      <c r="E63" s="153"/>
      <c r="F63" s="58" t="s">
        <v>288</v>
      </c>
      <c r="G63" s="58" t="s">
        <v>219</v>
      </c>
      <c r="H63" s="58" t="s">
        <v>219</v>
      </c>
      <c r="I63" s="58" t="s">
        <v>220</v>
      </c>
      <c r="J63" s="58"/>
      <c r="K63" s="58"/>
      <c r="L63" s="58"/>
      <c r="M63" s="58"/>
      <c r="N63" s="58"/>
      <c r="O63" s="58"/>
      <c r="P63" s="58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</row>
    <row r="64" spans="1:62" ht="15" customHeight="1">
      <c r="A64" s="52"/>
      <c r="B64" s="153"/>
      <c r="C64" s="153"/>
      <c r="D64" s="153"/>
      <c r="E64" s="153"/>
      <c r="F64" s="58" t="s">
        <v>289</v>
      </c>
      <c r="G64" s="58" t="s">
        <v>221</v>
      </c>
      <c r="H64" s="58" t="s">
        <v>221</v>
      </c>
      <c r="I64" s="58" t="s">
        <v>214</v>
      </c>
      <c r="J64" s="58"/>
      <c r="K64" s="58"/>
      <c r="L64" s="58"/>
      <c r="M64" s="58"/>
      <c r="N64" s="58"/>
      <c r="O64" s="58"/>
      <c r="P64" s="58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</row>
    <row r="65" spans="1:51" ht="15" customHeight="1">
      <c r="A65" s="52"/>
      <c r="B65" s="153"/>
      <c r="C65" s="153"/>
      <c r="D65" s="153"/>
      <c r="E65" s="153"/>
      <c r="F65" s="58" t="s">
        <v>290</v>
      </c>
      <c r="G65" s="58" t="s">
        <v>222</v>
      </c>
      <c r="H65" s="58" t="s">
        <v>222</v>
      </c>
      <c r="I65" s="58" t="s">
        <v>214</v>
      </c>
      <c r="J65" s="58"/>
      <c r="K65" s="58"/>
      <c r="L65" s="58"/>
      <c r="M65" s="58"/>
      <c r="N65" s="58"/>
      <c r="O65" s="58"/>
      <c r="P65" s="58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</row>
    <row r="66" spans="1:51" ht="15" customHeight="1">
      <c r="A66" s="52"/>
      <c r="B66" s="153"/>
      <c r="C66" s="153"/>
      <c r="D66" s="153"/>
      <c r="E66" s="153"/>
      <c r="F66" s="58" t="s">
        <v>291</v>
      </c>
      <c r="G66" s="58" t="s">
        <v>223</v>
      </c>
      <c r="H66" s="58" t="s">
        <v>223</v>
      </c>
      <c r="I66" s="58" t="s">
        <v>224</v>
      </c>
      <c r="J66" s="58"/>
      <c r="K66" s="58"/>
      <c r="L66" s="58"/>
      <c r="M66" s="58"/>
      <c r="N66" s="58"/>
      <c r="O66" s="58"/>
      <c r="P66" s="58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</row>
    <row r="67" spans="1:51" ht="15" customHeight="1">
      <c r="A67" s="52"/>
      <c r="B67" s="153"/>
      <c r="C67" s="153"/>
      <c r="D67" s="153"/>
      <c r="E67" s="153"/>
      <c r="F67" s="58" t="s">
        <v>292</v>
      </c>
      <c r="G67" s="58" t="s">
        <v>225</v>
      </c>
      <c r="H67" s="58" t="s">
        <v>225</v>
      </c>
      <c r="I67" s="58" t="s">
        <v>226</v>
      </c>
      <c r="J67" s="58"/>
      <c r="K67" s="58"/>
      <c r="L67" s="58"/>
      <c r="M67" s="58"/>
      <c r="N67" s="58"/>
      <c r="O67" s="58"/>
      <c r="P67" s="58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</row>
    <row r="68" spans="1:51" ht="15" customHeight="1">
      <c r="A68" s="52"/>
      <c r="B68" s="153"/>
      <c r="C68" s="153"/>
      <c r="D68" s="153"/>
      <c r="E68" s="153"/>
      <c r="F68" s="58" t="s">
        <v>293</v>
      </c>
      <c r="G68" s="58" t="s">
        <v>227</v>
      </c>
      <c r="H68" s="58" t="s">
        <v>227</v>
      </c>
      <c r="I68" s="58" t="s">
        <v>228</v>
      </c>
      <c r="J68" s="58"/>
      <c r="K68" s="58"/>
      <c r="L68" s="58"/>
      <c r="M68" s="58"/>
      <c r="N68" s="58"/>
      <c r="O68" s="58"/>
      <c r="P68" s="58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</row>
    <row r="69" spans="1:51" ht="15" customHeight="1">
      <c r="B69" s="153"/>
      <c r="C69" s="153"/>
      <c r="D69" s="153"/>
      <c r="E69" s="153"/>
      <c r="F69" s="58" t="s">
        <v>294</v>
      </c>
      <c r="G69" s="58" t="s">
        <v>229</v>
      </c>
      <c r="H69" s="58" t="s">
        <v>229</v>
      </c>
      <c r="I69" s="58" t="s">
        <v>214</v>
      </c>
      <c r="J69" s="58"/>
      <c r="K69" s="58"/>
      <c r="L69" s="58"/>
      <c r="M69" s="58"/>
      <c r="N69" s="58"/>
      <c r="O69" s="58"/>
      <c r="P69" s="58"/>
    </row>
    <row r="70" spans="1:51" ht="15" customHeight="1">
      <c r="B70" s="153"/>
      <c r="C70" s="153"/>
      <c r="D70" s="153"/>
      <c r="E70" s="153"/>
      <c r="F70" s="58" t="s">
        <v>295</v>
      </c>
      <c r="G70" s="58" t="s">
        <v>230</v>
      </c>
      <c r="H70" s="58" t="s">
        <v>230</v>
      </c>
      <c r="I70" s="58" t="s">
        <v>214</v>
      </c>
      <c r="J70" s="58"/>
      <c r="K70" s="58"/>
      <c r="L70" s="58"/>
      <c r="M70" s="58"/>
      <c r="N70" s="58"/>
      <c r="O70" s="58"/>
      <c r="P70" s="58"/>
    </row>
    <row r="71" spans="1:51" ht="15" customHeight="1">
      <c r="B71" s="153"/>
      <c r="C71" s="153"/>
      <c r="D71" s="153"/>
      <c r="E71" s="153"/>
      <c r="F71" s="58" t="s">
        <v>296</v>
      </c>
      <c r="G71" s="58" t="s">
        <v>231</v>
      </c>
      <c r="H71" s="58" t="s">
        <v>231</v>
      </c>
      <c r="I71" s="58" t="s">
        <v>214</v>
      </c>
      <c r="J71" s="58"/>
      <c r="K71" s="58"/>
      <c r="L71" s="58"/>
      <c r="M71" s="58"/>
      <c r="N71" s="58"/>
      <c r="O71" s="58"/>
      <c r="P71" s="58"/>
    </row>
    <row r="72" spans="1:51" ht="15" customHeight="1">
      <c r="B72" s="153"/>
      <c r="C72" s="153"/>
      <c r="D72" s="153"/>
      <c r="E72" s="153"/>
      <c r="F72" s="58" t="s">
        <v>297</v>
      </c>
      <c r="G72" s="58" t="s">
        <v>239</v>
      </c>
      <c r="H72" s="58" t="s">
        <v>239</v>
      </c>
      <c r="I72" s="58" t="s">
        <v>214</v>
      </c>
      <c r="J72" s="58"/>
      <c r="K72" s="58"/>
      <c r="L72" s="58"/>
      <c r="M72" s="58"/>
      <c r="N72" s="58"/>
      <c r="O72" s="58"/>
      <c r="P72" s="58"/>
    </row>
    <row r="73" spans="1:51" ht="15" customHeight="1">
      <c r="B73" s="153"/>
      <c r="C73" s="153"/>
      <c r="D73" s="153"/>
      <c r="E73" s="153"/>
      <c r="F73" s="58" t="s">
        <v>298</v>
      </c>
      <c r="G73" s="58" t="s">
        <v>235</v>
      </c>
      <c r="H73" s="58" t="s">
        <v>235</v>
      </c>
      <c r="I73" s="58" t="s">
        <v>236</v>
      </c>
      <c r="J73" s="58"/>
      <c r="K73" s="58"/>
      <c r="L73" s="58"/>
      <c r="M73" s="58"/>
      <c r="N73" s="58"/>
      <c r="O73" s="58"/>
      <c r="P73" s="58"/>
    </row>
    <row r="74" spans="1:51" ht="15" customHeight="1">
      <c r="B74" s="153" t="s">
        <v>240</v>
      </c>
      <c r="C74" s="153" t="s">
        <v>211</v>
      </c>
      <c r="D74" s="153" t="s">
        <v>272</v>
      </c>
      <c r="E74" s="153" t="s">
        <v>272</v>
      </c>
      <c r="F74" s="58" t="s">
        <v>212</v>
      </c>
      <c r="G74" s="58" t="s">
        <v>239</v>
      </c>
      <c r="H74" s="58" t="s">
        <v>239</v>
      </c>
      <c r="I74" s="58" t="s">
        <v>217</v>
      </c>
      <c r="J74" s="58"/>
      <c r="K74" s="58"/>
      <c r="L74" s="58" t="s">
        <v>212</v>
      </c>
      <c r="M74" s="58" t="s">
        <v>215</v>
      </c>
      <c r="N74" s="58" t="s">
        <v>238</v>
      </c>
      <c r="O74" s="58"/>
      <c r="P74" s="58"/>
    </row>
    <row r="75" spans="1:51" ht="15" customHeight="1">
      <c r="B75" s="153"/>
      <c r="C75" s="153"/>
      <c r="D75" s="153"/>
      <c r="E75" s="153"/>
      <c r="F75" s="58" t="s">
        <v>286</v>
      </c>
      <c r="G75" s="58" t="s">
        <v>273</v>
      </c>
      <c r="H75" s="58" t="s">
        <v>273</v>
      </c>
      <c r="I75" s="58" t="s">
        <v>214</v>
      </c>
      <c r="J75" s="58"/>
      <c r="K75" s="58"/>
      <c r="L75" s="58"/>
      <c r="M75" s="58"/>
      <c r="N75" s="58"/>
      <c r="O75" s="58"/>
      <c r="P75" s="58"/>
    </row>
    <row r="76" spans="1:51" ht="15" customHeight="1">
      <c r="B76" s="153"/>
      <c r="C76" s="153"/>
      <c r="D76" s="153"/>
      <c r="E76" s="153"/>
      <c r="F76" s="58" t="s">
        <v>287</v>
      </c>
      <c r="G76" s="58" t="s">
        <v>252</v>
      </c>
      <c r="H76" s="58" t="s">
        <v>252</v>
      </c>
      <c r="I76" s="58" t="s">
        <v>214</v>
      </c>
      <c r="J76" s="58"/>
      <c r="K76" s="58"/>
      <c r="L76" s="58"/>
      <c r="M76" s="58"/>
      <c r="N76" s="58"/>
      <c r="O76" s="58"/>
      <c r="P76" s="58"/>
    </row>
    <row r="77" spans="1:51" ht="15" customHeight="1">
      <c r="B77" s="153"/>
      <c r="C77" s="153"/>
      <c r="D77" s="153"/>
      <c r="E77" s="153"/>
      <c r="F77" s="58" t="s">
        <v>288</v>
      </c>
      <c r="G77" s="58" t="s">
        <v>253</v>
      </c>
      <c r="H77" s="58" t="s">
        <v>253</v>
      </c>
      <c r="I77" s="58" t="s">
        <v>214</v>
      </c>
      <c r="J77" s="58"/>
      <c r="K77" s="58"/>
      <c r="L77" s="58"/>
      <c r="M77" s="58"/>
      <c r="N77" s="58"/>
      <c r="O77" s="58"/>
      <c r="P77" s="58"/>
    </row>
    <row r="78" spans="1:51" ht="15" customHeight="1">
      <c r="B78" s="153"/>
      <c r="C78" s="153"/>
      <c r="D78" s="153"/>
      <c r="E78" s="153"/>
      <c r="F78" s="58" t="s">
        <v>289</v>
      </c>
      <c r="G78" s="58" t="s">
        <v>231</v>
      </c>
      <c r="H78" s="58" t="s">
        <v>231</v>
      </c>
      <c r="I78" s="58" t="s">
        <v>214</v>
      </c>
      <c r="J78" s="58"/>
      <c r="K78" s="58"/>
      <c r="L78" s="58"/>
      <c r="M78" s="58"/>
      <c r="N78" s="58"/>
      <c r="O78" s="58"/>
      <c r="P78" s="58"/>
    </row>
    <row r="79" spans="1:51" ht="15" customHeight="1">
      <c r="B79" s="153"/>
      <c r="C79" s="153"/>
      <c r="D79" s="153"/>
      <c r="E79" s="153"/>
      <c r="F79" s="58" t="s">
        <v>290</v>
      </c>
      <c r="G79" s="58" t="s">
        <v>259</v>
      </c>
      <c r="H79" s="58" t="s">
        <v>259</v>
      </c>
      <c r="I79" s="58" t="s">
        <v>214</v>
      </c>
      <c r="J79" s="58"/>
      <c r="K79" s="58"/>
      <c r="L79" s="58"/>
      <c r="M79" s="58"/>
      <c r="N79" s="58"/>
      <c r="O79" s="58"/>
      <c r="P79" s="58"/>
    </row>
    <row r="80" spans="1:51" ht="15" customHeight="1">
      <c r="B80" s="153"/>
      <c r="C80" s="153"/>
      <c r="D80" s="153"/>
      <c r="E80" s="153"/>
      <c r="F80" s="58" t="s">
        <v>291</v>
      </c>
      <c r="G80" s="58" t="s">
        <v>274</v>
      </c>
      <c r="H80" s="58" t="s">
        <v>274</v>
      </c>
      <c r="I80" s="58" t="s">
        <v>214</v>
      </c>
      <c r="J80" s="58"/>
      <c r="K80" s="58"/>
      <c r="L80" s="58"/>
      <c r="M80" s="58"/>
      <c r="N80" s="58"/>
      <c r="O80" s="58"/>
      <c r="P80" s="58"/>
    </row>
    <row r="81" spans="2:16" ht="15" customHeight="1">
      <c r="B81" s="153"/>
      <c r="C81" s="153"/>
      <c r="D81" s="153"/>
      <c r="E81" s="153"/>
      <c r="F81" s="58" t="s">
        <v>292</v>
      </c>
      <c r="G81" s="58" t="s">
        <v>275</v>
      </c>
      <c r="H81" s="58" t="s">
        <v>275</v>
      </c>
      <c r="I81" s="58" t="s">
        <v>214</v>
      </c>
      <c r="J81" s="58"/>
      <c r="K81" s="58"/>
      <c r="L81" s="58"/>
      <c r="M81" s="58"/>
      <c r="N81" s="58"/>
      <c r="O81" s="58"/>
      <c r="P81" s="58"/>
    </row>
    <row r="82" spans="2:16" ht="15" customHeight="1">
      <c r="B82" s="153"/>
      <c r="C82" s="153"/>
      <c r="D82" s="153"/>
      <c r="E82" s="153"/>
      <c r="F82" s="58" t="s">
        <v>293</v>
      </c>
      <c r="G82" s="58" t="s">
        <v>276</v>
      </c>
      <c r="H82" s="58" t="s">
        <v>276</v>
      </c>
      <c r="I82" s="58" t="s">
        <v>214</v>
      </c>
      <c r="J82" s="58"/>
      <c r="K82" s="58"/>
      <c r="L82" s="58"/>
      <c r="M82" s="58"/>
      <c r="N82" s="58"/>
      <c r="O82" s="58"/>
      <c r="P82" s="58"/>
    </row>
    <row r="83" spans="2:16" ht="15" customHeight="1">
      <c r="B83" s="153"/>
      <c r="C83" s="153"/>
      <c r="D83" s="153"/>
      <c r="E83" s="153"/>
      <c r="F83" s="58" t="s">
        <v>294</v>
      </c>
      <c r="G83" s="58" t="s">
        <v>277</v>
      </c>
      <c r="H83" s="58" t="s">
        <v>277</v>
      </c>
      <c r="I83" s="58" t="s">
        <v>220</v>
      </c>
      <c r="J83" s="58"/>
      <c r="K83" s="58"/>
      <c r="L83" s="58"/>
      <c r="M83" s="58"/>
      <c r="N83" s="58"/>
      <c r="O83" s="58"/>
      <c r="P83" s="58"/>
    </row>
    <row r="84" spans="2:16" ht="15" customHeight="1">
      <c r="B84" s="153"/>
      <c r="C84" s="153"/>
      <c r="D84" s="153"/>
      <c r="E84" s="153"/>
      <c r="F84" s="58" t="s">
        <v>295</v>
      </c>
      <c r="G84" s="58" t="s">
        <v>226</v>
      </c>
      <c r="H84" s="58" t="s">
        <v>226</v>
      </c>
      <c r="I84" s="58" t="s">
        <v>226</v>
      </c>
      <c r="J84" s="58"/>
      <c r="K84" s="58"/>
      <c r="L84" s="58"/>
      <c r="M84" s="58"/>
      <c r="N84" s="58"/>
      <c r="O84" s="58"/>
      <c r="P84" s="58"/>
    </row>
    <row r="85" spans="2:16" ht="15" customHeight="1">
      <c r="B85" s="153"/>
      <c r="C85" s="153"/>
      <c r="D85" s="153"/>
      <c r="E85" s="153"/>
      <c r="F85" s="58" t="s">
        <v>296</v>
      </c>
      <c r="G85" s="58" t="s">
        <v>244</v>
      </c>
      <c r="H85" s="58" t="s">
        <v>244</v>
      </c>
      <c r="I85" s="58" t="s">
        <v>214</v>
      </c>
      <c r="J85" s="58"/>
      <c r="K85" s="58"/>
      <c r="L85" s="58"/>
      <c r="M85" s="58"/>
      <c r="N85" s="58"/>
      <c r="O85" s="58"/>
      <c r="P85" s="58"/>
    </row>
    <row r="86" spans="2:16" ht="15" customHeight="1">
      <c r="B86" s="153"/>
      <c r="C86" s="153"/>
      <c r="D86" s="153"/>
      <c r="E86" s="153"/>
      <c r="F86" s="58" t="s">
        <v>297</v>
      </c>
      <c r="G86" s="58" t="s">
        <v>230</v>
      </c>
      <c r="H86" s="58" t="s">
        <v>230</v>
      </c>
      <c r="I86" s="58" t="s">
        <v>214</v>
      </c>
      <c r="J86" s="58"/>
      <c r="K86" s="58"/>
      <c r="L86" s="58"/>
      <c r="M86" s="58"/>
      <c r="N86" s="58"/>
      <c r="O86" s="58"/>
      <c r="P86" s="58"/>
    </row>
    <row r="87" spans="2:16" ht="15" customHeight="1">
      <c r="B87" s="153"/>
      <c r="C87" s="153"/>
      <c r="D87" s="153"/>
      <c r="E87" s="153"/>
      <c r="F87" s="58" t="s">
        <v>298</v>
      </c>
      <c r="G87" s="58" t="s">
        <v>227</v>
      </c>
      <c r="H87" s="58" t="s">
        <v>227</v>
      </c>
      <c r="I87" s="58" t="s">
        <v>228</v>
      </c>
      <c r="J87" s="58"/>
      <c r="K87" s="58"/>
      <c r="L87" s="58"/>
      <c r="M87" s="58"/>
      <c r="N87" s="58"/>
      <c r="O87" s="58"/>
      <c r="P87" s="58"/>
    </row>
    <row r="88" spans="2:16" ht="15" customHeight="1">
      <c r="B88" s="153"/>
      <c r="C88" s="153"/>
      <c r="D88" s="153"/>
      <c r="E88" s="153"/>
      <c r="F88" s="58" t="s">
        <v>299</v>
      </c>
      <c r="G88" s="58" t="s">
        <v>232</v>
      </c>
      <c r="H88" s="58" t="s">
        <v>232</v>
      </c>
      <c r="I88" s="58" t="s">
        <v>214</v>
      </c>
      <c r="J88" s="58"/>
      <c r="K88" s="58"/>
      <c r="L88" s="58"/>
      <c r="M88" s="58"/>
      <c r="N88" s="58"/>
      <c r="O88" s="58"/>
      <c r="P88" s="58"/>
    </row>
    <row r="89" spans="2:16" ht="15" customHeight="1">
      <c r="B89" s="153"/>
      <c r="C89" s="153"/>
      <c r="D89" s="153"/>
      <c r="E89" s="153"/>
      <c r="F89" s="58" t="s">
        <v>300</v>
      </c>
      <c r="G89" s="58" t="s">
        <v>218</v>
      </c>
      <c r="H89" s="58" t="s">
        <v>218</v>
      </c>
      <c r="I89" s="58" t="s">
        <v>214</v>
      </c>
      <c r="J89" s="58"/>
      <c r="K89" s="58"/>
      <c r="L89" s="58"/>
      <c r="M89" s="58"/>
      <c r="N89" s="58"/>
      <c r="O89" s="58"/>
      <c r="P89" s="58"/>
    </row>
    <row r="90" spans="2:16" ht="15" customHeight="1">
      <c r="B90" s="153"/>
      <c r="C90" s="153"/>
      <c r="D90" s="153"/>
      <c r="E90" s="153"/>
      <c r="F90" s="58" t="s">
        <v>301</v>
      </c>
      <c r="G90" s="58" t="s">
        <v>229</v>
      </c>
      <c r="H90" s="58" t="s">
        <v>229</v>
      </c>
      <c r="I90" s="58" t="s">
        <v>214</v>
      </c>
      <c r="J90" s="58"/>
      <c r="K90" s="58"/>
      <c r="L90" s="58"/>
      <c r="M90" s="58"/>
      <c r="N90" s="58"/>
      <c r="O90" s="58"/>
      <c r="P90" s="58"/>
    </row>
  </sheetData>
  <mergeCells count="17">
    <mergeCell ref="E60:E73"/>
    <mergeCell ref="B45:B59"/>
    <mergeCell ref="B60:B73"/>
    <mergeCell ref="B74:B90"/>
    <mergeCell ref="B4:B44"/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151" t="str">
        <f ca="1">RIGHT(CELL("filename",A1),LEN(CELL("filename",A1))-FIND("]",CELL("filename",A1)))</f>
        <v>ER図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2"/>
    </row>
    <row r="2" spans="1:61" ht="15" customHeight="1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</row>
    <row r="3" spans="1:61" ht="15" customHeight="1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</row>
    <row r="4" spans="1:61" s="5" customFormat="1" ht="15" customHeight="1">
      <c r="A4" s="49"/>
      <c r="B4" s="52"/>
      <c r="C4" s="52"/>
      <c r="D4" s="52"/>
      <c r="E4" s="52"/>
      <c r="F4" s="52"/>
      <c r="G4" s="52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</row>
    <row r="5" spans="1:61" ht="15" customHeight="1">
      <c r="A5" s="52"/>
      <c r="B5" s="54"/>
      <c r="C5" s="54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</row>
    <row r="6" spans="1:61" ht="15" customHeight="1">
      <c r="A6" s="52"/>
      <c r="B6" s="154"/>
      <c r="C6" s="154"/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50"/>
    </row>
    <row r="7" spans="1:61" ht="15" customHeight="1">
      <c r="A7" s="52"/>
      <c r="B7" s="154"/>
      <c r="C7" s="154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50"/>
    </row>
    <row r="8" spans="1:61" ht="15" customHeight="1">
      <c r="A8" s="52"/>
      <c r="B8" s="154"/>
      <c r="C8" s="154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5"/>
      <c r="AN8" s="155"/>
      <c r="AO8" s="155"/>
      <c r="AP8" s="155"/>
      <c r="AQ8" s="155"/>
      <c r="AR8" s="155"/>
      <c r="AS8" s="155"/>
      <c r="AT8" s="155"/>
      <c r="AU8" s="155"/>
      <c r="AV8" s="155"/>
      <c r="AW8" s="155"/>
      <c r="AX8" s="155"/>
      <c r="AY8" s="155"/>
      <c r="AZ8" s="50"/>
    </row>
    <row r="9" spans="1:61" ht="15" customHeight="1">
      <c r="A9" s="52"/>
      <c r="B9" s="154"/>
      <c r="C9" s="154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155"/>
      <c r="AZ9" s="50"/>
    </row>
    <row r="10" spans="1:61" ht="15" customHeight="1">
      <c r="A10" s="52"/>
      <c r="B10" s="154"/>
      <c r="C10" s="154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50"/>
    </row>
    <row r="11" spans="1:61" ht="15" customHeight="1">
      <c r="A11" s="52"/>
      <c r="B11" s="154"/>
      <c r="C11" s="154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50"/>
    </row>
    <row r="12" spans="1:61" s="5" customFormat="1" ht="15" customHeight="1">
      <c r="A12" s="52"/>
      <c r="B12" s="154"/>
      <c r="C12" s="154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53"/>
      <c r="BI12" s="1"/>
    </row>
    <row r="13" spans="1:61" ht="15" customHeight="1">
      <c r="A13" s="50"/>
      <c r="B13" s="154"/>
      <c r="C13" s="154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50"/>
    </row>
    <row r="14" spans="1:61" ht="15" customHeight="1">
      <c r="A14" s="50"/>
      <c r="B14" s="154"/>
      <c r="C14" s="154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50"/>
    </row>
    <row r="15" spans="1:61" ht="15" customHeight="1">
      <c r="A15" s="50"/>
      <c r="B15" s="154"/>
      <c r="C15" s="154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  <c r="AG15" s="155"/>
      <c r="AH15" s="155"/>
      <c r="AI15" s="155"/>
      <c r="AJ15" s="155"/>
      <c r="AK15" s="155"/>
      <c r="AL15" s="155"/>
      <c r="AM15" s="155"/>
      <c r="AN15" s="155"/>
      <c r="AO15" s="155"/>
      <c r="AP15" s="155"/>
      <c r="AQ15" s="155"/>
      <c r="AR15" s="155"/>
      <c r="AS15" s="155"/>
      <c r="AT15" s="155"/>
      <c r="AU15" s="155"/>
      <c r="AV15" s="155"/>
      <c r="AW15" s="155"/>
      <c r="AX15" s="155"/>
      <c r="AY15" s="155"/>
      <c r="AZ15" s="50"/>
    </row>
    <row r="16" spans="1:61" ht="15" customHeight="1">
      <c r="A16" s="50"/>
      <c r="B16" s="50"/>
      <c r="C16" s="50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1"/>
      <c r="AV16" s="51"/>
      <c r="AW16" s="51"/>
      <c r="AX16" s="51"/>
      <c r="AY16" s="51"/>
      <c r="AZ16" s="50"/>
    </row>
    <row r="17" spans="1:52" ht="15" customHeight="1">
      <c r="A17" s="49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</row>
    <row r="18" spans="1:52" ht="15" customHeight="1">
      <c r="A18" s="49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</row>
    <row r="19" spans="1:52" ht="15" customHeight="1">
      <c r="A19" s="50"/>
      <c r="B19" s="154"/>
      <c r="C19" s="154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50"/>
    </row>
    <row r="20" spans="1:52" ht="15" customHeight="1">
      <c r="A20" s="50"/>
      <c r="B20" s="154"/>
      <c r="C20" s="154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  <c r="AG20" s="155"/>
      <c r="AH20" s="155"/>
      <c r="AI20" s="155"/>
      <c r="AJ20" s="155"/>
      <c r="AK20" s="155"/>
      <c r="AL20" s="155"/>
      <c r="AM20" s="155"/>
      <c r="AN20" s="155"/>
      <c r="AO20" s="155"/>
      <c r="AP20" s="155"/>
      <c r="AQ20" s="155"/>
      <c r="AR20" s="155"/>
      <c r="AS20" s="155"/>
      <c r="AT20" s="155"/>
      <c r="AU20" s="155"/>
      <c r="AV20" s="155"/>
      <c r="AW20" s="155"/>
      <c r="AX20" s="155"/>
      <c r="AY20" s="155"/>
      <c r="AZ20" s="50"/>
    </row>
    <row r="21" spans="1:52" ht="15" customHeight="1">
      <c r="A21" s="50"/>
      <c r="B21" s="154"/>
      <c r="C21" s="154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  <c r="AK21" s="155"/>
      <c r="AL21" s="155"/>
      <c r="AM21" s="155"/>
      <c r="AN21" s="155"/>
      <c r="AO21" s="155"/>
      <c r="AP21" s="155"/>
      <c r="AQ21" s="155"/>
      <c r="AR21" s="155"/>
      <c r="AS21" s="155"/>
      <c r="AT21" s="155"/>
      <c r="AU21" s="155"/>
      <c r="AV21" s="155"/>
      <c r="AW21" s="155"/>
      <c r="AX21" s="155"/>
      <c r="AY21" s="155"/>
      <c r="AZ21" s="50"/>
    </row>
    <row r="22" spans="1:52" ht="15" customHeight="1">
      <c r="A22" s="52"/>
      <c r="B22" s="154"/>
      <c r="C22" s="154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50"/>
    </row>
    <row r="23" spans="1:52" ht="15" customHeight="1">
      <c r="A23" s="52"/>
      <c r="B23" s="154"/>
      <c r="C23" s="154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50"/>
    </row>
    <row r="24" spans="1:52" ht="15" customHeight="1">
      <c r="A24" s="52"/>
      <c r="B24" s="154"/>
      <c r="C24" s="154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50"/>
    </row>
    <row r="25" spans="1:52" ht="15" customHeight="1">
      <c r="A25" s="52"/>
      <c r="B25" s="154"/>
      <c r="C25" s="154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50"/>
    </row>
    <row r="26" spans="1:52" ht="15" customHeight="1">
      <c r="A26" s="52"/>
      <c r="B26" s="154"/>
      <c r="C26" s="154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50"/>
    </row>
    <row r="27" spans="1:52" ht="15" customHeight="1">
      <c r="A27" s="52"/>
      <c r="B27" s="154"/>
      <c r="C27" s="154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155"/>
      <c r="AI27" s="155"/>
      <c r="AJ27" s="155"/>
      <c r="AK27" s="155"/>
      <c r="AL27" s="155"/>
      <c r="AM27" s="155"/>
      <c r="AN27" s="155"/>
      <c r="AO27" s="155"/>
      <c r="AP27" s="155"/>
      <c r="AQ27" s="155"/>
      <c r="AR27" s="155"/>
      <c r="AS27" s="155"/>
      <c r="AT27" s="155"/>
      <c r="AU27" s="155"/>
      <c r="AV27" s="155"/>
      <c r="AW27" s="155"/>
      <c r="AX27" s="155"/>
      <c r="AY27" s="155"/>
      <c r="AZ27" s="50"/>
    </row>
    <row r="28" spans="1:52" ht="15" customHeight="1">
      <c r="A28" s="52"/>
      <c r="B28" s="154"/>
      <c r="C28" s="154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5"/>
      <c r="AN28" s="155"/>
      <c r="AO28" s="155"/>
      <c r="AP28" s="155"/>
      <c r="AQ28" s="155"/>
      <c r="AR28" s="155"/>
      <c r="AS28" s="155"/>
      <c r="AT28" s="155"/>
      <c r="AU28" s="155"/>
      <c r="AV28" s="155"/>
      <c r="AW28" s="155"/>
      <c r="AX28" s="155"/>
      <c r="AY28" s="155"/>
      <c r="AZ28" s="50"/>
    </row>
    <row r="29" spans="1:52" ht="15" customHeight="1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</row>
  </sheetData>
  <mergeCells count="81"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0:C20"/>
    <mergeCell ref="D20:S20"/>
    <mergeCell ref="T20:AM20"/>
    <mergeCell ref="AN20:AY20"/>
    <mergeCell ref="B21:C21"/>
    <mergeCell ref="D21:S21"/>
    <mergeCell ref="T21:AM21"/>
    <mergeCell ref="AN21:AY21"/>
    <mergeCell ref="B15:C15"/>
    <mergeCell ref="D15:S15"/>
    <mergeCell ref="T15:AM15"/>
    <mergeCell ref="AN15:AY15"/>
    <mergeCell ref="B19:C19"/>
    <mergeCell ref="D19:S19"/>
    <mergeCell ref="T19:AM19"/>
    <mergeCell ref="AN19:AY19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1:C11"/>
    <mergeCell ref="D11:S11"/>
    <mergeCell ref="T11:AM11"/>
    <mergeCell ref="AN11:AY11"/>
    <mergeCell ref="B12:C12"/>
    <mergeCell ref="D12:S12"/>
    <mergeCell ref="T12:AM12"/>
    <mergeCell ref="AN12:AY12"/>
    <mergeCell ref="B9:C9"/>
    <mergeCell ref="D9:S9"/>
    <mergeCell ref="T9:AM9"/>
    <mergeCell ref="AN9:AY9"/>
    <mergeCell ref="B10:C10"/>
    <mergeCell ref="D10:S10"/>
    <mergeCell ref="T10:AM10"/>
    <mergeCell ref="AN10:AY10"/>
    <mergeCell ref="B7:C7"/>
    <mergeCell ref="D7:S7"/>
    <mergeCell ref="T7:AM7"/>
    <mergeCell ref="AN7:AY7"/>
    <mergeCell ref="B8:C8"/>
    <mergeCell ref="D8:S8"/>
    <mergeCell ref="T8:AM8"/>
    <mergeCell ref="AN8:AY8"/>
    <mergeCell ref="A1:BI1"/>
    <mergeCell ref="B6:C6"/>
    <mergeCell ref="D6:S6"/>
    <mergeCell ref="T6:AM6"/>
    <mergeCell ref="AN6:AY6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35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3" t="str">
        <f ca="1">RIGHT(CELL("filename",A1),LEN(CELL("filename",A1))-FIND("]",CELL("filename",A1)))</f>
        <v>ログ出力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48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139" t="s">
        <v>43</v>
      </c>
      <c r="C5" s="139"/>
      <c r="D5" s="144" t="s">
        <v>49</v>
      </c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 t="s">
        <v>50</v>
      </c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 t="s">
        <v>185</v>
      </c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</row>
    <row r="6" spans="1:52" ht="15" customHeight="1">
      <c r="A6" s="2"/>
      <c r="B6" s="125">
        <v>1</v>
      </c>
      <c r="C6" s="125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2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A8" s="2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52" ht="15" customHeight="1">
      <c r="A9" s="2"/>
    </row>
    <row r="10" spans="1:52" ht="15" customHeight="1">
      <c r="A10" s="3" t="s">
        <v>53</v>
      </c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139" t="s">
        <v>43</v>
      </c>
      <c r="C12" s="139"/>
      <c r="D12" s="144" t="s">
        <v>51</v>
      </c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 t="s">
        <v>52</v>
      </c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M12" s="144"/>
      <c r="AN12" s="144" t="s">
        <v>3</v>
      </c>
      <c r="AO12" s="144"/>
      <c r="AP12" s="144"/>
      <c r="AQ12" s="144"/>
      <c r="AR12" s="144"/>
      <c r="AS12" s="144"/>
      <c r="AT12" s="144"/>
      <c r="AU12" s="144"/>
      <c r="AV12" s="144"/>
      <c r="AW12" s="144"/>
      <c r="AX12" s="144"/>
      <c r="AY12" s="144"/>
    </row>
    <row r="13" spans="1:52" ht="15" customHeight="1">
      <c r="A13" s="2"/>
      <c r="B13" s="125">
        <v>1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52" ht="15" customHeight="1">
      <c r="A14" s="2"/>
      <c r="B14" s="125">
        <v>2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52" ht="15" customHeight="1">
      <c r="A15" s="2"/>
      <c r="B15" s="125">
        <v>3</v>
      </c>
      <c r="C15" s="125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3"/>
      <c r="T15" s="11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3"/>
      <c r="AN15" s="11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3"/>
    </row>
    <row r="16" spans="1:52" ht="15" customHeight="1">
      <c r="A16" s="2"/>
      <c r="B16" s="125">
        <v>4</v>
      </c>
      <c r="C16" s="125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3"/>
      <c r="T16" s="11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3"/>
      <c r="AN16" s="11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3"/>
    </row>
    <row r="17" spans="1:57" ht="15" customHeight="1">
      <c r="A17" s="2"/>
      <c r="B17" s="125">
        <v>5</v>
      </c>
      <c r="C17" s="125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3"/>
      <c r="T17" s="11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3"/>
      <c r="AN17" s="11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3"/>
    </row>
    <row r="18" spans="1:57" ht="15" customHeight="1">
      <c r="A18" s="2"/>
      <c r="B18" s="125">
        <v>6</v>
      </c>
      <c r="C18" s="125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3"/>
      <c r="T18" s="11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3"/>
      <c r="AN18" s="11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3"/>
    </row>
    <row r="19" spans="1:57" ht="15" customHeight="1">
      <c r="A19" s="2"/>
      <c r="B19" s="125">
        <v>7</v>
      </c>
      <c r="C19" s="12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7" ht="15" customHeight="1">
      <c r="A20" s="2"/>
      <c r="B20" s="125">
        <v>8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7" ht="15" customHeight="1">
      <c r="A21" s="2"/>
    </row>
    <row r="22" spans="1:57" ht="15" customHeight="1">
      <c r="A22" s="2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ht="15" customHeight="1">
      <c r="A23" s="2"/>
    </row>
    <row r="24" spans="1:57" ht="15" customHeight="1">
      <c r="A24" s="2"/>
    </row>
    <row r="25" spans="1:57" ht="15" customHeight="1">
      <c r="A25" s="2"/>
      <c r="B25" s="2"/>
      <c r="C25" s="2"/>
      <c r="D25" s="2"/>
      <c r="E25" s="2"/>
      <c r="F25" s="2"/>
      <c r="G25" s="2"/>
      <c r="H25" s="2"/>
    </row>
    <row r="26" spans="1:57" ht="15" customHeight="1">
      <c r="A26" s="2"/>
      <c r="E26" s="2"/>
      <c r="F26" s="2"/>
      <c r="G26" s="2"/>
      <c r="H26" s="2"/>
    </row>
    <row r="27" spans="1:57" ht="15" customHeight="1">
      <c r="A27" s="2"/>
      <c r="E27" s="2"/>
      <c r="F27" s="2"/>
      <c r="G27" s="2"/>
      <c r="H27" s="2"/>
    </row>
    <row r="28" spans="1:57" ht="15" customHeight="1">
      <c r="A28" s="2"/>
      <c r="E28" s="2"/>
      <c r="F28" s="2"/>
      <c r="G28" s="2"/>
      <c r="H28" s="2"/>
    </row>
    <row r="29" spans="1:57" ht="15" customHeight="1">
      <c r="A29" s="2"/>
      <c r="E29" s="2"/>
      <c r="F29" s="2"/>
      <c r="G29" s="2"/>
      <c r="H29" s="2"/>
    </row>
    <row r="30" spans="1:57" s="5" customFormat="1" ht="15" customHeight="1">
      <c r="A30" s="2"/>
      <c r="B30" s="2"/>
      <c r="C30" s="2"/>
      <c r="D30" s="2"/>
      <c r="E30" s="2"/>
      <c r="F30" s="2"/>
      <c r="G30" s="2"/>
      <c r="H30" s="2"/>
    </row>
    <row r="31" spans="1:57" ht="15" customHeight="1">
      <c r="A31" s="2"/>
      <c r="B31" s="2"/>
      <c r="C31" s="2"/>
      <c r="D31" s="2"/>
      <c r="E31" s="2"/>
      <c r="F31" s="2"/>
      <c r="G31" s="2"/>
      <c r="H31" s="2"/>
    </row>
    <row r="32" spans="1:57" ht="15" customHeight="1">
      <c r="A32" s="2"/>
      <c r="B32" s="2"/>
      <c r="C32" s="2"/>
      <c r="D32" s="2"/>
      <c r="E32" s="2"/>
      <c r="F32" s="2"/>
      <c r="G32" s="2"/>
      <c r="H32" s="2"/>
    </row>
    <row r="33" spans="1:8" ht="15" customHeight="1">
      <c r="A33" s="2"/>
      <c r="B33" s="2"/>
      <c r="C33" s="2"/>
      <c r="D33" s="2"/>
      <c r="E33" s="2"/>
      <c r="F33" s="2"/>
      <c r="G33" s="2"/>
      <c r="H33" s="2"/>
    </row>
    <row r="34" spans="1:8" ht="15" customHeight="1">
      <c r="A34" s="2"/>
      <c r="B34" s="2"/>
      <c r="C34" s="2"/>
      <c r="D34" s="2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</sheetData>
  <mergeCells count="20">
    <mergeCell ref="B19:C19"/>
    <mergeCell ref="B20:C20"/>
    <mergeCell ref="B12:C12"/>
    <mergeCell ref="D12:S12"/>
    <mergeCell ref="T12:AM12"/>
    <mergeCell ref="B18:C18"/>
    <mergeCell ref="B16:C16"/>
    <mergeCell ref="B17:C17"/>
    <mergeCell ref="B14:C14"/>
    <mergeCell ref="B15:C15"/>
    <mergeCell ref="AN12:AY12"/>
    <mergeCell ref="B13:C13"/>
    <mergeCell ref="B8:C8"/>
    <mergeCell ref="B6:C6"/>
    <mergeCell ref="B7:C7"/>
    <mergeCell ref="B5:C5"/>
    <mergeCell ref="D5:S5"/>
    <mergeCell ref="T5:AM5"/>
    <mergeCell ref="AN5:AY5"/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71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22" t="str">
        <f ca="1">RIGHT(CELL("filename",A1),LEN(CELL("filename",A1))-FIND("]",CELL("filename",A1)))</f>
        <v>操作手順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65" t="s">
        <v>60</v>
      </c>
      <c r="B3" s="6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 t="s">
        <v>58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>
      <c r="B5" s="1" t="s">
        <v>59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ht="19.5">
      <c r="A16" s="65" t="s">
        <v>61</v>
      </c>
      <c r="B16" s="65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s="5" customForma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 s="5" customForma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 ht="18.75">
      <c r="A32" s="101" t="s">
        <v>373</v>
      </c>
      <c r="B32" s="101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>
      <c r="D34" s="42"/>
    </row>
    <row r="63" spans="3:3">
      <c r="C63" s="2"/>
    </row>
    <row r="69" spans="1:54" s="5" customForma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</sheetData>
  <mergeCells count="1">
    <mergeCell ref="A1:BB1"/>
  </mergeCells>
  <phoneticPr fontId="1"/>
  <hyperlinks>
    <hyperlink ref="A32" r:id="rId1" display="https://faq-oh.r.recruit.co.jp/faq/show/8353?site_domain=JP" xr:uid="{88A329BF-6F98-42B7-9B40-22AEC535582F}"/>
  </hyperlinks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2"/>
  <headerFooter alignWithMargins="0"/>
  <rowBreaks count="1" manualBreakCount="1">
    <brk id="30" max="53" man="1"/>
  </rowBreaks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customXml/itemProps3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25</vt:i4>
      </vt:variant>
    </vt:vector>
  </HeadingPairs>
  <TitlesOfParts>
    <vt:vector size="39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</vt:lpstr>
      <vt:lpstr>帳票定義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処理フロー図!Print_Area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髙橋 咲樹</cp:lastModifiedBy>
  <cp:lastPrinted>2021-01-05T06:32:05Z</cp:lastPrinted>
  <dcterms:created xsi:type="dcterms:W3CDTF">1997-06-17T10:35:10Z</dcterms:created>
  <dcterms:modified xsi:type="dcterms:W3CDTF">2026-03-18T04:52:06Z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